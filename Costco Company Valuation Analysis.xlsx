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lkoyanuneakhila_deloitte_com/Documents/Desktop/Assignments/Equity Research Report/"/>
    </mc:Choice>
  </mc:AlternateContent>
  <xr:revisionPtr revIDLastSave="0" documentId="8_{3C98FDF7-EC69-468D-B784-8EE606FD988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Notes &amp; Sources" sheetId="1" r:id="rId1"/>
    <sheet name="Executive Summary" sheetId="2" r:id="rId2"/>
    <sheet name="Revenue Model" sheetId="3" r:id="rId3"/>
    <sheet name="Income Statement" sheetId="4" r:id="rId4"/>
    <sheet name="Cash Flow Statement" sheetId="5" r:id="rId5"/>
    <sheet name="Balance Sheet" sheetId="6" r:id="rId6"/>
    <sheet name="Scenarios" sheetId="7" r:id="rId7"/>
    <sheet name="DCF Inputs" sheetId="8" r:id="rId8"/>
    <sheet name="DCF Valuation" sheetId="9" r:id="rId9"/>
    <sheet name="DCF Sensitivity" sheetId="10" r:id="rId10"/>
    <sheet name="Trading Comps" sheetId="11" r:id="rId11"/>
    <sheet name="Valuation Summary" sheetId="12" r:id="rId12"/>
    <sheet name="Catalysts &amp; Risk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2" l="1"/>
  <c r="F12" i="12"/>
  <c r="H18" i="11"/>
  <c r="G18" i="11"/>
  <c r="F18" i="11"/>
  <c r="E18" i="11"/>
  <c r="D18" i="11"/>
  <c r="C18" i="11"/>
  <c r="H17" i="11"/>
  <c r="G17" i="11"/>
  <c r="F17" i="11"/>
  <c r="E17" i="11"/>
  <c r="B30" i="11" s="1"/>
  <c r="D17" i="11"/>
  <c r="B27" i="11" s="1"/>
  <c r="C17" i="11"/>
  <c r="H16" i="11"/>
  <c r="G16" i="11"/>
  <c r="F16" i="11"/>
  <c r="E16" i="11"/>
  <c r="B31" i="11" s="1"/>
  <c r="D16" i="11"/>
  <c r="B28" i="11" s="1"/>
  <c r="C16" i="11"/>
  <c r="H15" i="11"/>
  <c r="G15" i="11"/>
  <c r="F15" i="11"/>
  <c r="E15" i="11"/>
  <c r="B32" i="11" s="1"/>
  <c r="D15" i="11"/>
  <c r="B29" i="11" s="1"/>
  <c r="C15" i="11"/>
  <c r="H14" i="11"/>
  <c r="G14" i="11"/>
  <c r="F14" i="11"/>
  <c r="E14" i="11"/>
  <c r="D14" i="11"/>
  <c r="C14" i="11"/>
  <c r="B28" i="9"/>
  <c r="C23" i="10" s="1"/>
  <c r="B27" i="8"/>
  <c r="B32" i="8" s="1"/>
  <c r="B10" i="9" s="1"/>
  <c r="K11" i="8"/>
  <c r="J11" i="8"/>
  <c r="I11" i="8"/>
  <c r="H11" i="8"/>
  <c r="G11" i="8"/>
  <c r="F11" i="8"/>
  <c r="E11" i="8"/>
  <c r="D11" i="8"/>
  <c r="C11" i="8"/>
  <c r="B11" i="8"/>
  <c r="K10" i="8"/>
  <c r="J10" i="8"/>
  <c r="I10" i="8"/>
  <c r="H10" i="8"/>
  <c r="G10" i="8"/>
  <c r="F10" i="8"/>
  <c r="E10" i="8"/>
  <c r="D10" i="8"/>
  <c r="C10" i="8"/>
  <c r="B10" i="8"/>
  <c r="D33" i="7"/>
  <c r="C33" i="7"/>
  <c r="B33" i="7"/>
  <c r="D27" i="7"/>
  <c r="F39" i="6"/>
  <c r="E39" i="6"/>
  <c r="D39" i="6"/>
  <c r="C39" i="6"/>
  <c r="B39" i="6"/>
  <c r="G26" i="6"/>
  <c r="K24" i="6"/>
  <c r="J24" i="6"/>
  <c r="I24" i="6"/>
  <c r="H24" i="6"/>
  <c r="G24" i="6"/>
  <c r="F24" i="6"/>
  <c r="F28" i="6" s="1"/>
  <c r="E24" i="6"/>
  <c r="E28" i="6" s="1"/>
  <c r="E32" i="6" s="1"/>
  <c r="D24" i="6"/>
  <c r="D28" i="6" s="1"/>
  <c r="C24" i="6"/>
  <c r="C28" i="6" s="1"/>
  <c r="B24" i="6"/>
  <c r="B28" i="6" s="1"/>
  <c r="G14" i="6"/>
  <c r="H14" i="6" s="1"/>
  <c r="I14" i="6" s="1"/>
  <c r="J14" i="6" s="1"/>
  <c r="K14" i="6" s="1"/>
  <c r="K27" i="5"/>
  <c r="J27" i="5"/>
  <c r="I27" i="5"/>
  <c r="H27" i="5"/>
  <c r="G27" i="5"/>
  <c r="F27" i="5"/>
  <c r="E27" i="5"/>
  <c r="E29" i="5" s="1"/>
  <c r="D27" i="5"/>
  <c r="C27" i="5"/>
  <c r="B27" i="5"/>
  <c r="F19" i="5"/>
  <c r="E19" i="5"/>
  <c r="K17" i="5"/>
  <c r="J17" i="5"/>
  <c r="I17" i="5"/>
  <c r="H17" i="5"/>
  <c r="G17" i="5"/>
  <c r="F17" i="5"/>
  <c r="E17" i="5"/>
  <c r="D17" i="5"/>
  <c r="C17" i="5"/>
  <c r="B17" i="5"/>
  <c r="F9" i="4"/>
  <c r="E9" i="4"/>
  <c r="D9" i="4"/>
  <c r="C9" i="4"/>
  <c r="B9" i="4"/>
  <c r="E7" i="4"/>
  <c r="E15" i="4" s="1"/>
  <c r="K47" i="3"/>
  <c r="J47" i="3"/>
  <c r="I47" i="3"/>
  <c r="H47" i="3"/>
  <c r="G47" i="3"/>
  <c r="F47" i="3"/>
  <c r="E41" i="3"/>
  <c r="D41" i="3"/>
  <c r="C41" i="3"/>
  <c r="B41" i="3"/>
  <c r="E37" i="3"/>
  <c r="D37" i="3"/>
  <c r="C37" i="3"/>
  <c r="B37" i="3"/>
  <c r="E33" i="3"/>
  <c r="D33" i="3"/>
  <c r="C33" i="3"/>
  <c r="B33" i="3"/>
  <c r="F29" i="3"/>
  <c r="F42" i="3" s="1"/>
  <c r="F26" i="3"/>
  <c r="E26" i="3"/>
  <c r="D26" i="3"/>
  <c r="C26" i="3"/>
  <c r="G25" i="3"/>
  <c r="G9" i="4" s="1"/>
  <c r="F20" i="3"/>
  <c r="F21" i="3" s="1"/>
  <c r="E20" i="3"/>
  <c r="E29" i="3" s="1"/>
  <c r="D20" i="3"/>
  <c r="C20" i="3"/>
  <c r="B20" i="3"/>
  <c r="B7" i="4" s="1"/>
  <c r="F17" i="3"/>
  <c r="E17" i="3"/>
  <c r="D17" i="3"/>
  <c r="C17" i="3"/>
  <c r="G16" i="3"/>
  <c r="H16" i="3" s="1"/>
  <c r="I16" i="3" s="1"/>
  <c r="J16" i="3" s="1"/>
  <c r="K16" i="3" s="1"/>
  <c r="F14" i="3"/>
  <c r="E14" i="3"/>
  <c r="D14" i="3"/>
  <c r="C14" i="3"/>
  <c r="G13" i="3"/>
  <c r="H13" i="3" s="1"/>
  <c r="I13" i="3" s="1"/>
  <c r="J13" i="3" s="1"/>
  <c r="K13" i="3" s="1"/>
  <c r="F11" i="3"/>
  <c r="E11" i="3"/>
  <c r="D11" i="3"/>
  <c r="C11" i="3"/>
  <c r="G10" i="3"/>
  <c r="H10" i="3" s="1"/>
  <c r="I10" i="3" s="1"/>
  <c r="J10" i="3" s="1"/>
  <c r="K10" i="3" s="1"/>
  <c r="F8" i="3"/>
  <c r="E8" i="3"/>
  <c r="D8" i="3"/>
  <c r="C8" i="3"/>
  <c r="G7" i="3"/>
  <c r="H7" i="3" s="1"/>
  <c r="D8" i="6" l="1"/>
  <c r="D32" i="6"/>
  <c r="F29" i="5"/>
  <c r="E47" i="3"/>
  <c r="C47" i="3"/>
  <c r="D47" i="3"/>
  <c r="F7" i="4"/>
  <c r="F10" i="4" s="1"/>
  <c r="E42" i="3"/>
  <c r="E34" i="3"/>
  <c r="B29" i="3"/>
  <c r="B34" i="3" s="1"/>
  <c r="B15" i="4"/>
  <c r="B20" i="4"/>
  <c r="H25" i="3"/>
  <c r="H20" i="3"/>
  <c r="I7" i="3"/>
  <c r="C7" i="4"/>
  <c r="C21" i="3"/>
  <c r="F43" i="3"/>
  <c r="D12" i="6"/>
  <c r="D35" i="6"/>
  <c r="F32" i="6"/>
  <c r="F8" i="6"/>
  <c r="F15" i="9"/>
  <c r="E15" i="9"/>
  <c r="D15" i="9"/>
  <c r="C15" i="9"/>
  <c r="B15" i="9"/>
  <c r="H28" i="6"/>
  <c r="C29" i="3"/>
  <c r="F38" i="3"/>
  <c r="F34" i="3"/>
  <c r="E38" i="3"/>
  <c r="E20" i="5"/>
  <c r="B32" i="6"/>
  <c r="B8" i="6"/>
  <c r="B10" i="4"/>
  <c r="G28" i="6"/>
  <c r="D21" i="3"/>
  <c r="D29" i="3"/>
  <c r="H26" i="6"/>
  <c r="D7" i="4"/>
  <c r="C32" i="6"/>
  <c r="C8" i="6"/>
  <c r="E21" i="3"/>
  <c r="E10" i="4"/>
  <c r="E17" i="4"/>
  <c r="E23" i="4" s="1"/>
  <c r="E20" i="4"/>
  <c r="E8" i="4"/>
  <c r="B47" i="3"/>
  <c r="F17" i="4"/>
  <c r="F23" i="4" s="1"/>
  <c r="B26" i="7"/>
  <c r="C27" i="7"/>
  <c r="B27" i="7"/>
  <c r="G20" i="3"/>
  <c r="B38" i="3"/>
  <c r="I25" i="3"/>
  <c r="H9" i="4"/>
  <c r="E8" i="6"/>
  <c r="C20" i="10"/>
  <c r="D23" i="10"/>
  <c r="D20" i="10"/>
  <c r="E23" i="10"/>
  <c r="E20" i="10"/>
  <c r="F23" i="10"/>
  <c r="F20" i="10"/>
  <c r="B24" i="10"/>
  <c r="B21" i="10"/>
  <c r="C24" i="10"/>
  <c r="C21" i="10"/>
  <c r="D24" i="10"/>
  <c r="B17" i="4"/>
  <c r="B23" i="4" s="1"/>
  <c r="D21" i="10"/>
  <c r="E24" i="10"/>
  <c r="E21" i="10"/>
  <c r="F24" i="10"/>
  <c r="F21" i="10"/>
  <c r="B22" i="10"/>
  <c r="C22" i="10"/>
  <c r="D22" i="10"/>
  <c r="E22" i="10"/>
  <c r="F22" i="10"/>
  <c r="B23" i="10"/>
  <c r="B20" i="10"/>
  <c r="F8" i="4" l="1"/>
  <c r="F15" i="4"/>
  <c r="F20" i="4"/>
  <c r="C26" i="7"/>
  <c r="D26" i="7"/>
  <c r="D28" i="7" s="1"/>
  <c r="B42" i="3"/>
  <c r="D42" i="3"/>
  <c r="D38" i="3"/>
  <c r="D34" i="3"/>
  <c r="B29" i="7"/>
  <c r="B28" i="7"/>
  <c r="C29" i="7"/>
  <c r="C28" i="7"/>
  <c r="J25" i="3"/>
  <c r="I9" i="4"/>
  <c r="F35" i="6"/>
  <c r="F12" i="6"/>
  <c r="E35" i="6"/>
  <c r="E12" i="6"/>
  <c r="E12" i="5"/>
  <c r="C10" i="4"/>
  <c r="C11" i="4" s="1"/>
  <c r="C20" i="4"/>
  <c r="C8" i="4"/>
  <c r="C15" i="4"/>
  <c r="C17" i="4"/>
  <c r="C23" i="4" s="1"/>
  <c r="C12" i="6"/>
  <c r="C35" i="6"/>
  <c r="E6" i="8"/>
  <c r="E29" i="4"/>
  <c r="E24" i="4"/>
  <c r="G23" i="3"/>
  <c r="G7" i="4"/>
  <c r="G21" i="3"/>
  <c r="G29" i="3"/>
  <c r="E39" i="3"/>
  <c r="E45" i="3"/>
  <c r="E46" i="3" s="1"/>
  <c r="F39" i="3"/>
  <c r="C42" i="3"/>
  <c r="C43" i="3" s="1"/>
  <c r="C38" i="3"/>
  <c r="C39" i="3" s="1"/>
  <c r="C34" i="3"/>
  <c r="B12" i="6"/>
  <c r="B35" i="6"/>
  <c r="B6" i="8"/>
  <c r="B24" i="4"/>
  <c r="B29" i="4"/>
  <c r="D10" i="4"/>
  <c r="E11" i="4" s="1"/>
  <c r="D17" i="4"/>
  <c r="D23" i="4" s="1"/>
  <c r="D15" i="4"/>
  <c r="D8" i="4"/>
  <c r="D20" i="4"/>
  <c r="I20" i="3"/>
  <c r="J7" i="3"/>
  <c r="F6" i="8"/>
  <c r="F24" i="4"/>
  <c r="F29" i="4"/>
  <c r="D29" i="7"/>
  <c r="F12" i="5"/>
  <c r="F11" i="4"/>
  <c r="F20" i="5"/>
  <c r="B45" i="3"/>
  <c r="B46" i="3" s="1"/>
  <c r="D38" i="6"/>
  <c r="D16" i="6"/>
  <c r="D33" i="6" s="1"/>
  <c r="F35" i="3"/>
  <c r="F45" i="3"/>
  <c r="F46" i="3" s="1"/>
  <c r="I26" i="6"/>
  <c r="H29" i="3"/>
  <c r="H7" i="4"/>
  <c r="H21" i="3"/>
  <c r="B30" i="7" l="1"/>
  <c r="D30" i="7"/>
  <c r="C30" i="7"/>
  <c r="C32" i="7" s="1"/>
  <c r="D6" i="8"/>
  <c r="D24" i="4"/>
  <c r="D29" i="4"/>
  <c r="G14" i="4"/>
  <c r="G8" i="4"/>
  <c r="G17" i="4"/>
  <c r="G19" i="4"/>
  <c r="G10" i="4"/>
  <c r="G11" i="4" s="1"/>
  <c r="D32" i="7"/>
  <c r="D31" i="7"/>
  <c r="K25" i="3"/>
  <c r="K9" i="4" s="1"/>
  <c r="J9" i="4"/>
  <c r="E8" i="8"/>
  <c r="E14" i="8" s="1"/>
  <c r="E15" i="8" s="1"/>
  <c r="C38" i="6"/>
  <c r="C16" i="6"/>
  <c r="C33" i="6" s="1"/>
  <c r="D11" i="4"/>
  <c r="B31" i="4"/>
  <c r="B33" i="4"/>
  <c r="B35" i="4" s="1"/>
  <c r="B7" i="8"/>
  <c r="B8" i="8" s="1"/>
  <c r="B14" i="8" s="1"/>
  <c r="B15" i="8" s="1"/>
  <c r="E33" i="4"/>
  <c r="E35" i="4" s="1"/>
  <c r="E7" i="8"/>
  <c r="E31" i="4"/>
  <c r="B38" i="6"/>
  <c r="B16" i="6"/>
  <c r="B33" i="6" s="1"/>
  <c r="D35" i="3"/>
  <c r="D45" i="3"/>
  <c r="D46" i="3" s="1"/>
  <c r="E35" i="3"/>
  <c r="G38" i="3"/>
  <c r="G39" i="3" s="1"/>
  <c r="G34" i="3"/>
  <c r="G42" i="3"/>
  <c r="G43" i="3" s="1"/>
  <c r="E16" i="6"/>
  <c r="E33" i="6" s="1"/>
  <c r="E38" i="6"/>
  <c r="F16" i="6"/>
  <c r="F33" i="6" s="1"/>
  <c r="F38" i="6"/>
  <c r="I28" i="6"/>
  <c r="J26" i="6"/>
  <c r="F33" i="4"/>
  <c r="F35" i="4" s="1"/>
  <c r="F7" i="8"/>
  <c r="F8" i="8" s="1"/>
  <c r="F14" i="8" s="1"/>
  <c r="F15" i="8" s="1"/>
  <c r="F31" i="4"/>
  <c r="B32" i="7"/>
  <c r="B31" i="7"/>
  <c r="H14" i="4"/>
  <c r="H17" i="4"/>
  <c r="H8" i="4"/>
  <c r="H19" i="4"/>
  <c r="H10" i="4"/>
  <c r="C6" i="8"/>
  <c r="C24" i="4"/>
  <c r="C29" i="4"/>
  <c r="H38" i="3"/>
  <c r="H42" i="3"/>
  <c r="H34" i="3"/>
  <c r="J20" i="3"/>
  <c r="K7" i="3"/>
  <c r="K20" i="3" s="1"/>
  <c r="C35" i="3"/>
  <c r="C45" i="3"/>
  <c r="C46" i="3" s="1"/>
  <c r="I29" i="3"/>
  <c r="I21" i="3"/>
  <c r="I7" i="4"/>
  <c r="D39" i="3"/>
  <c r="D43" i="3"/>
  <c r="E43" i="3"/>
  <c r="C31" i="7" l="1"/>
  <c r="H23" i="4"/>
  <c r="B34" i="7"/>
  <c r="E10" i="12" s="1"/>
  <c r="B35" i="7"/>
  <c r="F36" i="4"/>
  <c r="F40" i="6"/>
  <c r="F40" i="4"/>
  <c r="F7" i="5"/>
  <c r="D35" i="7"/>
  <c r="D34" i="7"/>
  <c r="C10" i="12" s="1"/>
  <c r="G10" i="12" s="1"/>
  <c r="H35" i="3"/>
  <c r="H45" i="3"/>
  <c r="H46" i="3" s="1"/>
  <c r="H43" i="3"/>
  <c r="H6" i="8"/>
  <c r="H24" i="4"/>
  <c r="H29" i="4"/>
  <c r="G35" i="3"/>
  <c r="G45" i="3"/>
  <c r="G46" i="3" s="1"/>
  <c r="K29" i="3"/>
  <c r="K7" i="4"/>
  <c r="K21" i="3"/>
  <c r="I38" i="3"/>
  <c r="I39" i="3" s="1"/>
  <c r="I42" i="3"/>
  <c r="I43" i="3" s="1"/>
  <c r="I34" i="3"/>
  <c r="I8" i="4"/>
  <c r="I19" i="4"/>
  <c r="I14" i="4"/>
  <c r="I17" i="4" s="1"/>
  <c r="I23" i="4" s="1"/>
  <c r="I10" i="4"/>
  <c r="I11" i="4" s="1"/>
  <c r="J21" i="3"/>
  <c r="J7" i="4"/>
  <c r="J29" i="3"/>
  <c r="K26" i="6"/>
  <c r="J28" i="6"/>
  <c r="H39" i="3"/>
  <c r="E36" i="4"/>
  <c r="E7" i="5"/>
  <c r="E40" i="4"/>
  <c r="E40" i="6"/>
  <c r="B36" i="4"/>
  <c r="B7" i="5"/>
  <c r="B11" i="5" s="1"/>
  <c r="B40" i="4"/>
  <c r="B40" i="6"/>
  <c r="D7" i="8"/>
  <c r="D8" i="8" s="1"/>
  <c r="D14" i="8" s="1"/>
  <c r="D15" i="8" s="1"/>
  <c r="D33" i="4"/>
  <c r="D35" i="4" s="1"/>
  <c r="D31" i="4"/>
  <c r="G23" i="4"/>
  <c r="C33" i="4"/>
  <c r="C35" i="4" s="1"/>
  <c r="C7" i="8"/>
  <c r="C8" i="8" s="1"/>
  <c r="C14" i="8" s="1"/>
  <c r="C15" i="8" s="1"/>
  <c r="C31" i="4"/>
  <c r="C35" i="7"/>
  <c r="C34" i="7"/>
  <c r="D10" i="12" s="1"/>
  <c r="H11" i="4"/>
  <c r="I24" i="4" l="1"/>
  <c r="I29" i="4"/>
  <c r="I6" i="8"/>
  <c r="K28" i="6"/>
  <c r="H30" i="4"/>
  <c r="H7" i="8" s="1"/>
  <c r="H8" i="8" s="1"/>
  <c r="H14" i="8" s="1"/>
  <c r="H33" i="4"/>
  <c r="H35" i="4" s="1"/>
  <c r="D36" i="4"/>
  <c r="D7" i="5"/>
  <c r="D11" i="5" s="1"/>
  <c r="D40" i="4"/>
  <c r="D40" i="6"/>
  <c r="B19" i="5"/>
  <c r="B20" i="5" s="1"/>
  <c r="B12" i="5"/>
  <c r="B29" i="5"/>
  <c r="E41" i="4"/>
  <c r="J38" i="3"/>
  <c r="J39" i="3" s="1"/>
  <c r="J34" i="3"/>
  <c r="J42" i="3"/>
  <c r="J43" i="3" s="1"/>
  <c r="J8" i="4"/>
  <c r="J19" i="4"/>
  <c r="J10" i="4"/>
  <c r="J11" i="4" s="1"/>
  <c r="J14" i="4"/>
  <c r="J17" i="4" s="1"/>
  <c r="J23" i="4" s="1"/>
  <c r="I35" i="3"/>
  <c r="I45" i="3"/>
  <c r="I46" i="3" s="1"/>
  <c r="F41" i="4"/>
  <c r="C40" i="4"/>
  <c r="C41" i="4" s="1"/>
  <c r="C36" i="4"/>
  <c r="C40" i="6"/>
  <c r="C7" i="5"/>
  <c r="C11" i="5" s="1"/>
  <c r="K10" i="4"/>
  <c r="K14" i="4"/>
  <c r="K17" i="4" s="1"/>
  <c r="K19" i="4"/>
  <c r="K8" i="4"/>
  <c r="G6" i="8"/>
  <c r="G24" i="4"/>
  <c r="C23" i="11"/>
  <c r="G29" i="4"/>
  <c r="K38" i="3"/>
  <c r="K34" i="3"/>
  <c r="K42" i="3"/>
  <c r="K43" i="3" l="1"/>
  <c r="H15" i="8"/>
  <c r="C6" i="9"/>
  <c r="C16" i="9" s="1"/>
  <c r="J24" i="4"/>
  <c r="J29" i="4"/>
  <c r="J6" i="8"/>
  <c r="B18" i="8"/>
  <c r="K11" i="4"/>
  <c r="K45" i="3"/>
  <c r="K46" i="3" s="1"/>
  <c r="K35" i="3"/>
  <c r="K39" i="3"/>
  <c r="D41" i="4"/>
  <c r="G30" i="4"/>
  <c r="G7" i="8" s="1"/>
  <c r="G8" i="8" s="1"/>
  <c r="G14" i="8" s="1"/>
  <c r="I8" i="8"/>
  <c r="I14" i="8" s="1"/>
  <c r="C19" i="5"/>
  <c r="C20" i="5" s="1"/>
  <c r="C29" i="5"/>
  <c r="C12" i="5"/>
  <c r="D19" i="5"/>
  <c r="D20" i="5" s="1"/>
  <c r="D29" i="5"/>
  <c r="D12" i="5"/>
  <c r="H36" i="4"/>
  <c r="H7" i="5"/>
  <c r="H11" i="5" s="1"/>
  <c r="H40" i="4"/>
  <c r="I30" i="4"/>
  <c r="I7" i="8" s="1"/>
  <c r="C29" i="11"/>
  <c r="D29" i="11" s="1"/>
  <c r="C28" i="11"/>
  <c r="D28" i="11" s="1"/>
  <c r="C27" i="11"/>
  <c r="D27" i="11" s="1"/>
  <c r="K23" i="4"/>
  <c r="J45" i="3"/>
  <c r="J46" i="3" s="1"/>
  <c r="J35" i="3"/>
  <c r="G33" i="4" l="1"/>
  <c r="G35" i="4" s="1"/>
  <c r="I33" i="4"/>
  <c r="I35" i="4" s="1"/>
  <c r="I36" i="4" s="1"/>
  <c r="I15" i="8"/>
  <c r="D6" i="9"/>
  <c r="D16" i="9" s="1"/>
  <c r="J30" i="4"/>
  <c r="J7" i="8" s="1"/>
  <c r="J8" i="8" s="1"/>
  <c r="J14" i="8" s="1"/>
  <c r="G31" i="6"/>
  <c r="G36" i="4"/>
  <c r="G7" i="5"/>
  <c r="G11" i="5" s="1"/>
  <c r="G40" i="4"/>
  <c r="G40" i="6"/>
  <c r="G15" i="8"/>
  <c r="B6" i="9"/>
  <c r="H29" i="5"/>
  <c r="H12" i="5"/>
  <c r="H19" i="5"/>
  <c r="H20" i="5" s="1"/>
  <c r="K24" i="4"/>
  <c r="K29" i="4"/>
  <c r="K6" i="8"/>
  <c r="I40" i="4" l="1"/>
  <c r="I41" i="4" s="1"/>
  <c r="I7" i="5"/>
  <c r="I11" i="5" s="1"/>
  <c r="I12" i="5" s="1"/>
  <c r="J15" i="8"/>
  <c r="E6" i="9"/>
  <c r="E16" i="9" s="1"/>
  <c r="I19" i="5"/>
  <c r="I20" i="5" s="1"/>
  <c r="B19" i="8"/>
  <c r="B20" i="8"/>
  <c r="C24" i="11"/>
  <c r="E9" i="12"/>
  <c r="D9" i="12"/>
  <c r="G9" i="12" s="1"/>
  <c r="C9" i="12"/>
  <c r="G41" i="4"/>
  <c r="K30" i="4"/>
  <c r="K7" i="8" s="1"/>
  <c r="K8" i="8" s="1"/>
  <c r="K14" i="8" s="1"/>
  <c r="G29" i="5"/>
  <c r="G12" i="5"/>
  <c r="G19" i="5"/>
  <c r="G20" i="5" s="1"/>
  <c r="J33" i="4"/>
  <c r="J35" i="4" s="1"/>
  <c r="B16" i="9"/>
  <c r="H31" i="6"/>
  <c r="G39" i="6"/>
  <c r="G8" i="6"/>
  <c r="G12" i="6" s="1"/>
  <c r="G32" i="6"/>
  <c r="H41" i="4"/>
  <c r="I29" i="5" l="1"/>
  <c r="K33" i="4"/>
  <c r="K35" i="4" s="1"/>
  <c r="K15" i="8"/>
  <c r="F6" i="9"/>
  <c r="B21" i="8"/>
  <c r="K7" i="5"/>
  <c r="K11" i="5" s="1"/>
  <c r="K40" i="4"/>
  <c r="K36" i="4"/>
  <c r="G16" i="6"/>
  <c r="G33" i="6" s="1"/>
  <c r="G38" i="6"/>
  <c r="I31" i="6"/>
  <c r="H8" i="6"/>
  <c r="H12" i="6" s="1"/>
  <c r="H39" i="6"/>
  <c r="H32" i="6"/>
  <c r="H40" i="6"/>
  <c r="J7" i="5"/>
  <c r="J11" i="5" s="1"/>
  <c r="J40" i="4"/>
  <c r="J41" i="4" s="1"/>
  <c r="J36" i="4"/>
  <c r="D32" i="11"/>
  <c r="D31" i="11"/>
  <c r="D30" i="11"/>
  <c r="K41" i="4" l="1"/>
  <c r="J12" i="5"/>
  <c r="J19" i="5"/>
  <c r="J20" i="5" s="1"/>
  <c r="J29" i="5"/>
  <c r="J31" i="6"/>
  <c r="I39" i="6"/>
  <c r="I8" i="6"/>
  <c r="I12" i="6" s="1"/>
  <c r="I32" i="6"/>
  <c r="I40" i="6"/>
  <c r="C32" i="11"/>
  <c r="E7" i="12"/>
  <c r="H38" i="6"/>
  <c r="H16" i="6"/>
  <c r="H33" i="6" s="1"/>
  <c r="C7" i="12"/>
  <c r="C30" i="11"/>
  <c r="C31" i="11"/>
  <c r="D34" i="11"/>
  <c r="D7" i="12" s="1"/>
  <c r="G7" i="12" s="1"/>
  <c r="K19" i="5"/>
  <c r="K20" i="5" s="1"/>
  <c r="K12" i="5"/>
  <c r="K29" i="5"/>
  <c r="B20" i="9"/>
  <c r="B21" i="9" s="1"/>
  <c r="F16" i="9"/>
  <c r="B17" i="9" s="1"/>
  <c r="E9" i="10"/>
  <c r="B8" i="10"/>
  <c r="E12" i="10"/>
  <c r="C12" i="10"/>
  <c r="B12" i="10"/>
  <c r="F9" i="10"/>
  <c r="F12" i="10"/>
  <c r="D9" i="10"/>
  <c r="F7" i="10"/>
  <c r="D7" i="10"/>
  <c r="C10" i="10"/>
  <c r="D11" i="10"/>
  <c r="C9" i="10"/>
  <c r="B11" i="10"/>
  <c r="F10" i="10"/>
  <c r="E10" i="10"/>
  <c r="D8" i="10"/>
  <c r="B10" i="10"/>
  <c r="C8" i="10"/>
  <c r="C11" i="10"/>
  <c r="F13" i="10"/>
  <c r="D12" i="10"/>
  <c r="E7" i="10"/>
  <c r="E13" i="10"/>
  <c r="F8" i="10"/>
  <c r="E8" i="10"/>
  <c r="B7" i="10"/>
  <c r="E6" i="12" s="1"/>
  <c r="F11" i="10"/>
  <c r="E11" i="10"/>
  <c r="D10" i="10"/>
  <c r="B9" i="10"/>
  <c r="C7" i="10"/>
  <c r="D13" i="10"/>
  <c r="C13" i="10"/>
  <c r="B13" i="10"/>
  <c r="C6" i="12" s="1"/>
  <c r="B25" i="9" l="1"/>
  <c r="B29" i="9" s="1"/>
  <c r="B33" i="9" s="1"/>
  <c r="D6" i="12" s="1"/>
  <c r="G6" i="12" s="1"/>
  <c r="G12" i="12" s="1"/>
  <c r="C16" i="12" s="1"/>
  <c r="C17" i="12" s="1"/>
  <c r="I38" i="6"/>
  <c r="I16" i="6"/>
  <c r="I33" i="6" s="1"/>
  <c r="K31" i="6"/>
  <c r="J39" i="6"/>
  <c r="J8" i="6"/>
  <c r="J12" i="6" s="1"/>
  <c r="J32" i="6"/>
  <c r="J40" i="6"/>
  <c r="B22" i="9" l="1"/>
  <c r="B35" i="9"/>
  <c r="K39" i="6"/>
  <c r="K8" i="6"/>
  <c r="K12" i="6" s="1"/>
  <c r="K32" i="6"/>
  <c r="K40" i="6"/>
  <c r="J38" i="6"/>
  <c r="J16" i="6"/>
  <c r="J33" i="6" s="1"/>
  <c r="K16" i="6" l="1"/>
  <c r="K33" i="6" s="1"/>
  <c r="K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200-000001000000}">
      <text>
        <r>
          <rPr>
            <sz val="10"/>
            <rFont val="Arial"/>
            <family val="2"/>
          </rPr>
          <t>Source: Costco 10-K, Note 2 Disaggregated Revenue, FY2021/2023/2024/2025 filings (SEC EDGAR)</t>
        </r>
      </text>
    </comment>
    <comment ref="G8" authorId="0" shapeId="0" xr:uid="{00000000-0006-0000-0200-000009000000}">
      <text>
        <r>
          <rPr>
            <sz val="10"/>
            <rFont val="Arial"/>
            <family val="2"/>
          </rPr>
          <t>FY2026E growth (10.15%) is set uniformly across all 4 categories to tie the model exactly to Costco's already-disclosed actual FY2026 net sales of $297,300mm (Aug 2026 sales release), holding the FY2025A category mix constant in the absence of disclosed FY2026 category-level detail (pending the FY2026 10-K). FY2027E onward reverts to differentiated, research-informed category growth assumptions (blue = editable), not company guidance.</t>
        </r>
      </text>
    </comment>
    <comment ref="B10" authorId="0" shapeId="0" xr:uid="{00000000-0006-0000-0200-000002000000}">
      <text>
        <r>
          <rPr>
            <sz val="10"/>
            <rFont val="Arial"/>
            <family val="2"/>
          </rPr>
          <t>Source: Costco 10-K, Note 2 Disaggregated Revenue (SEC EDGAR)</t>
        </r>
      </text>
    </comment>
    <comment ref="B13" authorId="0" shapeId="0" xr:uid="{00000000-0006-0000-0200-000003000000}">
      <text>
        <r>
          <rPr>
            <sz val="10"/>
            <rFont val="Arial"/>
            <family val="2"/>
          </rPr>
          <t>Source: Costco 10-K, Note 2 Disaggregated Revenue (SEC EDGAR)</t>
        </r>
      </text>
    </comment>
    <comment ref="B16" authorId="0" shapeId="0" xr:uid="{00000000-0006-0000-0200-000004000000}">
      <text>
        <r>
          <rPr>
            <sz val="10"/>
            <rFont val="Arial"/>
            <family val="2"/>
          </rPr>
          <t>Source: Costco 10-K, Note 2 Disaggregated Revenue (SEC EDGAR). FY2022 spike reflects gasoline price inflation and e-commerce recovery.</t>
        </r>
      </text>
    </comment>
    <comment ref="G22" authorId="0" shapeId="0" xr:uid="{00000000-0006-0000-0200-00000A000000}">
      <text>
        <r>
          <rPr>
            <sz val="10"/>
            <rFont val="Arial"/>
            <family val="2"/>
          </rPr>
          <t>Source: Costco Wholesale Corp. 'Reports August Sales Results' press release, Sept 2, 2026 (GlobeNewswire/SEC). Full FY2026 net sales already reported; net income/EPS pending Q4 earnings Sept 24, 2026.</t>
        </r>
      </text>
    </comment>
    <comment ref="B25" authorId="0" shapeId="0" xr:uid="{00000000-0006-0000-0200-000005000000}">
      <text>
        <r>
          <rPr>
            <sz val="10"/>
            <rFont val="Arial"/>
            <family val="2"/>
          </rPr>
          <t>Source: Costco 10-K, Membership Fees note (SEC EDGAR)</t>
        </r>
      </text>
    </comment>
    <comment ref="B33" authorId="0" shapeId="0" xr:uid="{00000000-0006-0000-0200-000006000000}">
      <text>
        <r>
          <rPr>
            <sz val="10"/>
            <rFont val="Arial"/>
            <family val="2"/>
          </rPr>
          <t>FY2021-23: exact segment mix, Costco 10-K Note 11 (SEC EDGAR). FY2024: estimated at FY2023 mix (72.9%). FY2025-30: drifts per blue assumption below (international mix rising modestly, consistent with Costco's international-led unit growth per Task 1 research).</t>
        </r>
      </text>
    </comment>
    <comment ref="B37" authorId="0" shapeId="0" xr:uid="{00000000-0006-0000-0200-000007000000}">
      <text>
        <r>
          <rPr>
            <sz val="10"/>
            <rFont val="Arial"/>
            <family val="2"/>
          </rPr>
          <t>FY2021-23: exact segment mix, 10-K Note 11. FY2024: estimated at FY2023 mix. FY2025-30: held roughly flat per blue assumption below.</t>
        </r>
      </text>
    </comment>
    <comment ref="B41" authorId="0" shapeId="0" xr:uid="{00000000-0006-0000-0200-000008000000}">
      <text>
        <r>
          <rPr>
            <sz val="10"/>
            <rFont val="Arial"/>
            <family val="2"/>
          </rPr>
          <t>FY2021-23: exact segment mix, 10-K Note 11. FY2024: estimated at FY2023 mix. FY2025-30: rising modestly per blue assumption below, consistent with continued above-average international comp growth and new-unit pipeline (Japan, Korea, China, continental Europe) per Task 1 research.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4" authorId="0" shapeId="0" xr:uid="{00000000-0006-0000-0300-000001000000}">
      <text>
        <r>
          <rPr>
            <sz val="10"/>
            <rFont val="Arial"/>
            <family val="2"/>
          </rPr>
          <t>Source: Costco 10-K Consolidated Statements of Income, FY2021-25 (SEC EDGAR)</t>
        </r>
      </text>
    </comment>
    <comment ref="G15" authorId="0" shapeId="0" xr:uid="{00000000-0006-0000-0300-000008000000}">
      <text>
        <r>
          <rPr>
            <sz val="10"/>
            <rFont val="Arial"/>
            <family val="2"/>
          </rPr>
          <t>Analyst assumption: gross margin held roughly flat to FY2025A (11.12%), consistent with Costco's stated strategy of passing cost savings to members rather than expanding margin. Reflects modest ongoing mix-shift toward higher-margin fresh foods and co-branded credit card economics per FY2025 10-K MD&amp;A.</t>
        </r>
      </text>
    </comment>
    <comment ref="B19" authorId="0" shapeId="0" xr:uid="{00000000-0006-0000-0300-000002000000}">
      <text>
        <r>
          <rPr>
            <sz val="10"/>
            <rFont val="Arial"/>
            <family val="2"/>
          </rPr>
          <t>Source: Costco 10-K Consolidated Statements of Income, FY2021-25 (SEC EDGAR)</t>
        </r>
      </text>
    </comment>
    <comment ref="G20" authorId="0" shapeId="0" xr:uid="{00000000-0006-0000-0300-000009000000}">
      <text>
        <r>
          <rPr>
            <sz val="10"/>
            <rFont val="Arial"/>
            <family val="2"/>
          </rPr>
          <t>Analyst assumption: modest SG&amp;A leverage as sales scale, consistent with the 10-year trend of SG&amp;A ratio improving ~1-3bps/yr in normal years, partially offset by continued above-market wage philosophy (Task 1 research).</t>
        </r>
      </text>
    </comment>
    <comment ref="B27" authorId="0" shapeId="0" xr:uid="{00000000-0006-0000-0300-000003000000}">
      <text>
        <r>
          <rPr>
            <sz val="10"/>
            <rFont val="Arial"/>
            <family val="2"/>
          </rPr>
          <t>Source: Costco 10-K, FY2021-24 (SEC EDGAR). FY2025 not separately disclosed in sources reviewed; combined with interest income below.</t>
        </r>
      </text>
    </comment>
    <comment ref="B28" authorId="0" shapeId="0" xr:uid="{00000000-0006-0000-0300-000004000000}">
      <text>
        <r>
          <rPr>
            <sz val="10"/>
            <rFont val="Arial"/>
            <family val="2"/>
          </rPr>
          <t>Source: Costco 10-K, FY2021-24 exact (SEC EDGAR). FY2025 = combined net 'Other income/expense' ($435M = pretax income $10,818M less operating income $10,383M per 10-K), since the interest-expense/interest-income sub-split for FY2025 was not independently located in sources reviewed; immaterial to model (&lt;0.2% of revenue).</t>
        </r>
      </text>
    </comment>
    <comment ref="B30" authorId="0" shapeId="0" xr:uid="{00000000-0006-0000-0300-000005000000}">
      <text>
        <r>
          <rPr>
            <sz val="10"/>
            <rFont val="Arial"/>
            <family val="2"/>
          </rPr>
          <t>Source: Costco 10-K Consolidated Statements of Income, FY2021-25 (SEC EDGAR)</t>
        </r>
      </text>
    </comment>
    <comment ref="G31" authorId="0" shapeId="0" xr:uid="{00000000-0006-0000-0300-00000A000000}">
      <text>
        <r>
          <rPr>
            <sz val="10"/>
            <rFont val="Arial"/>
            <family val="2"/>
          </rPr>
          <t>Analyst assumption: effective tax rate held near FY2025A's 25.1% (10-K), moderating slightly on assumption of continued modest discrete stock-comp benefits typical in recent years.</t>
        </r>
      </text>
    </comment>
    <comment ref="B34" authorId="0" shapeId="0" xr:uid="{00000000-0006-0000-0300-000006000000}">
      <text>
        <r>
          <rPr>
            <sz val="10"/>
            <rFont val="Arial"/>
            <family val="2"/>
          </rPr>
          <t>Source: Costco 10-K (SEC EDGAR). Costco bought out remaining NCI in its Taiwan/other subsidiaries by FY2023; NCI is $0 from FY2023 onward.</t>
        </r>
      </text>
    </comment>
    <comment ref="B39" authorId="0" shapeId="0" xr:uid="{00000000-0006-0000-0300-000007000000}">
      <text>
        <r>
          <rPr>
            <sz val="10"/>
            <rFont val="Arial"/>
            <family val="2"/>
          </rPr>
          <t>FY2021-23: exact, Costco 10-K EPS note (SEC EDGAR). FY2024-25: derived (NI attributable / diluted EPS, both exact-sourced); company-reported share count may differ by immaterial rounding.</t>
        </r>
      </text>
    </comment>
    <comment ref="G39" authorId="0" shapeId="0" xr:uid="{00000000-0006-0000-0300-00000B000000}">
      <text>
        <r>
          <rPr>
            <sz val="10"/>
            <rFont val="Arial"/>
            <family val="2"/>
          </rPr>
          <t>Analyst assumption: modest continued net share-count reduction (~0.3-0.4%/yr) consistent with Costco's historical buyback pace under its $4.0bn repurchase authorization (10-K), partly offset by RSU dilution.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400-000001000000}">
      <text>
        <r>
          <rPr>
            <sz val="10"/>
            <rFont val="Arial"/>
            <family val="2"/>
          </rPr>
          <t>FY2021-23: exact, Costco 10-K Note 11 Segment Reporting (SEC EDGAR). FY2024-25: ESTIMATED using historical D&amp;A/net-sales ratio (~0.85-0.90%, per FY2023A 10-K); exact FY2024/25 D&amp;A dollar figure not independently located in sources reviewed for this build.</t>
        </r>
      </text>
    </comment>
    <comment ref="B9" authorId="0" shapeId="0" xr:uid="{00000000-0006-0000-0400-000002000000}">
      <text>
        <r>
          <rPr>
            <sz val="10"/>
            <rFont val="Arial"/>
            <family val="2"/>
          </rPr>
          <t>ESTIMATED: Costco does not prominently break out a single stock-comp cash-flow addback figure in the sources reviewed for this build; figures shown are directional analyst estimates (~0.2% of net sales, consistent with peer retail norms) and should be replaced with the exact 10-K cash flow statement figure for precision use.</t>
        </r>
      </text>
    </comment>
    <comment ref="B10" authorId="0" shapeId="0" xr:uid="{00000000-0006-0000-0400-000003000000}">
      <text>
        <r>
          <rPr>
            <sz val="10"/>
            <rFont val="Arial"/>
            <family val="2"/>
          </rPr>
          <t>ESTIMATED plug for FY2021-23: derived as CFO (where independently known) less NI, D&amp;A and SBC; not separately itemized by receivables/inventory/payables sub-line in this build given research-effort constraints. See Costco 10-K Cash Flow Statement for full itemization.</t>
        </r>
      </text>
    </comment>
    <comment ref="E11" authorId="0" shapeId="0" xr:uid="{00000000-0006-0000-0400-00000A000000}">
      <text>
        <r>
          <rPr>
            <sz val="10"/>
            <rFont val="Arial"/>
            <family val="2"/>
          </rPr>
          <t>Source: Costco FY2025 10-K MD&amp;A, comparative prior-year CFO figure (SEC EDGAR / MarketScreener filing summary) — exact.</t>
        </r>
      </text>
    </comment>
    <comment ref="F11" authorId="0" shapeId="0" xr:uid="{00000000-0006-0000-0400-00000B000000}">
      <text>
        <r>
          <rPr>
            <sz val="10"/>
            <rFont val="Arial"/>
            <family val="2"/>
          </rPr>
          <t>Source: Costco FY2025 10-K MD&amp;A (SEC EDGAR) — exact: 'Net cash provided by operating activities totaled $13,335 in 2025.'</t>
        </r>
      </text>
    </comment>
    <comment ref="B15" authorId="0" shapeId="0" xr:uid="{00000000-0006-0000-0400-000004000000}">
      <text>
        <r>
          <rPr>
            <sz val="10"/>
            <rFont val="Arial"/>
            <family val="2"/>
          </rPr>
          <t>FY2021-23: exact 'Additions to property and equipment', Costco 10-K Note 11 (SEC EDGAR). FY2024-25: net cash used in investing activities per 10-K MD&amp;A ('primarily related to capital expenditures') — used as CapEx proxy; may include small other investing items.</t>
        </r>
      </text>
    </comment>
    <comment ref="G15" authorId="0" shapeId="0" xr:uid="{00000000-0006-0000-0400-00000C000000}">
      <text>
        <r>
          <rPr>
            <sz val="10"/>
            <rFont val="Arial"/>
            <family val="2"/>
          </rPr>
          <t>FY2026E CapEx of $6,250-6,500M is management guidance, per Costco's FY2025 10-K outlook ('capital expenditures expected to be between $6,000 and $6,500 million' for FY2026) and Q1 FY2026 10-Q intention of ~$6,500M. FY2027E+ grows with warehouse count/revenue.</t>
        </r>
      </text>
    </comment>
    <comment ref="B16" authorId="0" shapeId="0" xr:uid="{00000000-0006-0000-0400-000005000000}">
      <text>
        <r>
          <rPr>
            <sz val="10"/>
            <rFont val="Arial"/>
            <family val="2"/>
          </rPr>
          <t>Simplified to zero: FY2024-25 investing cash flow figure used above already captures net investing activity per 10-K MD&amp;A framing.</t>
        </r>
      </text>
    </comment>
    <comment ref="B23" authorId="0" shapeId="0" xr:uid="{00000000-0006-0000-0400-000006000000}">
      <text>
        <r>
          <rPr>
            <sz val="10"/>
            <rFont val="Arial"/>
            <family val="2"/>
          </rPr>
          <t>FY2024-25: exact, Costco 10-K MD&amp;A ('Repayments of long-term debt in 2025 totaled $103, as compared to $1,077 in 2024'). FY2021-23: estimated based on scheduled Senior Notes maturities; directional only.</t>
        </r>
      </text>
    </comment>
    <comment ref="B24" authorId="0" shapeId="0" xr:uid="{00000000-0006-0000-0400-000007000000}">
      <text>
        <r>
          <rPr>
            <sz val="10"/>
            <rFont val="Arial"/>
            <family val="2"/>
          </rPr>
          <t>FY2025: exact, Costco 10-K MD&amp;A ('repurchased 943,000 shares... totaling approximately $903 million'). FY2021-24: estimated; Costco's buyback activity has historically been modest relative to dividends.</t>
        </r>
      </text>
    </comment>
    <comment ref="B25" authorId="0" shapeId="0" xr:uid="{00000000-0006-0000-0400-000008000000}">
      <text>
        <r>
          <rPr>
            <sz val="10"/>
            <rFont val="Arial"/>
            <family val="2"/>
          </rPr>
          <t>FY2024-25: exact, Costco 10-K MD&amp;A ('cash dividends totaling $2,183...in 2025, compared to $8,589...in 2024, which included a special dividend'). FY2021-23: estimated from historical regular quarterly dividend rate; excludes the ~$6.7bn special dividend paid Jan 2024 (captured in FY2024 above) and prior special dividends.</t>
        </r>
      </text>
    </comment>
    <comment ref="G25" authorId="0" shapeId="0" xr:uid="{00000000-0006-0000-0400-00000D000000}">
      <text>
        <r>
          <rPr>
            <sz val="10"/>
            <rFont val="Arial"/>
            <family val="2"/>
          </rPr>
          <t>Projection assumes regular quarterly dividend only (no further special dividend modeled, given inherent unpredictability per Task 1 research), growing with historical ~10-12%/yr regular-dividend growth rate. An actual special dividend, if declared, would be a material positive one-time cash outflow not captured here.</t>
        </r>
      </text>
    </comment>
    <comment ref="B26" authorId="0" shapeId="0" xr:uid="{00000000-0006-0000-0400-000009000000}">
      <text>
        <r>
          <rPr>
            <sz val="10"/>
            <rFont val="Arial"/>
            <family val="2"/>
          </rPr>
          <t>Estimated: primarily employee tax withholding on stock awards; small relative to other financing lines.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500-000001000000}">
      <text>
        <r>
          <rPr>
            <sz val="10"/>
            <rFont val="Arial"/>
            <family val="2"/>
          </rPr>
          <t>Source: Costco 10-K (SEC EDGAR). FY2024-25 = credit/debit card receivables balance disclosed in FY2025 10-K MD&amp;A.</t>
        </r>
      </text>
    </comment>
    <comment ref="B10" authorId="0" shapeId="0" xr:uid="{00000000-0006-0000-0500-000002000000}">
      <text>
        <r>
          <rPr>
            <sz val="10"/>
            <rFont val="Arial"/>
            <family val="2"/>
          </rPr>
          <t>FY2021-24: exact, Costco 10-K Inventory note (SEC EDGAR). FY2025: exact per stock-analysis-on.net compilation of FY2025 10-K ('$18.12 billion in 2025').</t>
        </r>
      </text>
    </comment>
    <comment ref="B11" authorId="0" shapeId="0" xr:uid="{00000000-0006-0000-0500-000003000000}">
      <text>
        <r>
          <rPr>
            <sz val="10"/>
            <rFont val="Arial"/>
            <family val="2"/>
          </rPr>
          <t>FY2021-23: exact, Costco 10-K (SEC EDGAR). FY2024-25: estimated held near FY2023A level scaled with sales, per stock-analysis-on.net trend commentary ('$1.78 billion by 2025').</t>
        </r>
      </text>
    </comment>
    <comment ref="B14" authorId="0" shapeId="0" xr:uid="{00000000-0006-0000-0500-000004000000}">
      <text>
        <r>
          <rPr>
            <sz val="10"/>
            <rFont val="Arial"/>
            <family val="2"/>
          </rPr>
          <t>FY2021-23: exact, Costco 10-K (SEC EDGAR). FY2024: derived (roll-forward: FY2023 net PP&amp;E + FY2024 capex - FY2024 est. D&amp;A). FY2025: exact per stock-analysis-on.net ('$31.91 billion in 2025').</t>
        </r>
      </text>
    </comment>
    <comment ref="B15" authorId="0" shapeId="0" xr:uid="{00000000-0006-0000-0500-000005000000}">
      <text>
        <r>
          <rPr>
            <sz val="10"/>
            <rFont val="Arial"/>
            <family val="2"/>
          </rPr>
          <t>FY2021-23: exact sum of 'Operating lease ROU' + 'Other long-term assets', Costco 10-K (SEC EDGAR). FY2024-25: derived as plug (Total assets less Total current assets less PP&amp;E net), since not separately itemized in aggregator sources reviewed for FY2024-25.</t>
        </r>
      </text>
    </comment>
    <comment ref="B17" authorId="0" shapeId="0" xr:uid="{00000000-0006-0000-0500-000006000000}">
      <text>
        <r>
          <rPr>
            <sz val="10"/>
            <rFont val="Arial"/>
            <family val="2"/>
          </rPr>
          <t>Cross-check memo row: FY2022-25 total assets per Costco 10-K / Yahoo Finance balance sheet compilation. Compare to computed TOTAL ASSETS row above.</t>
        </r>
      </text>
    </comment>
    <comment ref="B21" authorId="0" shapeId="0" xr:uid="{00000000-0006-0000-0500-000007000000}">
      <text>
        <r>
          <rPr>
            <sz val="10"/>
            <rFont val="Arial"/>
            <family val="2"/>
          </rPr>
          <t>FY2021-23: exact, Costco 10-K (SEC EDGAR). FY2024-25: estimated, scaled with merchandise costs growth from FY2023A base (exact AP/COGS ratio held roughly constant).</t>
        </r>
      </text>
    </comment>
    <comment ref="B22" authorId="0" shapeId="0" xr:uid="{00000000-0006-0000-0500-000008000000}">
      <text>
        <r>
          <rPr>
            <sz val="10"/>
            <rFont val="Arial"/>
            <family val="2"/>
          </rPr>
          <t>FY2021-23: exact sum of 'Accrued salaries and benefits' + 'Accrued member rewards' + 'Deferred membership fees' + 'Other current liabilities', Costco 10-K (SEC EDGAR). FY2024-25: estimated, scaled with sales/membership fee growth from FY2023A base.</t>
        </r>
      </text>
    </comment>
    <comment ref="B23" authorId="0" shapeId="0" xr:uid="{00000000-0006-0000-0500-000009000000}">
      <text>
        <r>
          <rPr>
            <sz val="10"/>
            <rFont val="Arial"/>
            <family val="2"/>
          </rPr>
          <t>FY2021-23: exact, Costco 10-K (SEC EDGAR). FY2024-25: estimated based on scheduled near-term Senior Notes maturities per 10-K debt schedule.</t>
        </r>
      </text>
    </comment>
    <comment ref="B26" authorId="0" shapeId="0" xr:uid="{00000000-0006-0000-0500-00000A000000}">
      <text>
        <r>
          <rPr>
            <sz val="10"/>
            <rFont val="Arial"/>
            <family val="2"/>
          </rPr>
          <t>FY2021-23: exact, Costco 10-K (SEC EDGAR). FY2024-25: estimated consistent with disclosed Total Debt of ~$8.17bn (Yahoo Finance FY2024/25 balance sheet, combined current+LT debt) after deducting current portion above and financing lease obligations.</t>
        </r>
      </text>
    </comment>
    <comment ref="B27" authorId="0" shapeId="0" xr:uid="{00000000-0006-0000-0500-00000B000000}">
      <text>
        <r>
          <rPr>
            <sz val="10"/>
            <rFont val="Arial"/>
            <family val="2"/>
          </rPr>
          <t>FY2021-23: exact sum of 'Long-term operating lease liabilities' + 'Other long-term liabilities', Costco 10-K (SEC EDGAR). FY2024-25: estimated, held roughly flat/scaled with warehouse count growth.</t>
        </r>
      </text>
    </comment>
    <comment ref="B31" authorId="0" shapeId="0" xr:uid="{00000000-0006-0000-0500-00000C000000}">
      <text>
        <r>
          <rPr>
            <sz val="10"/>
            <rFont val="Arial"/>
            <family val="2"/>
          </rPr>
          <t>FY2021-23: exact ('Total Costco stockholders' equity'), Costco 10-K (SEC EDGAR). FY2024: exact per Yahoo Finance FY2024 balance sheet (reflects ~$6.7bn special dividend paid Jan 2024, which reduced equity y/y). FY2025: exact per Yahoo Finance FY2025 balance sheet.</t>
        </r>
      </text>
    </comment>
    <comment ref="B34" authorId="0" shapeId="0" xr:uid="{00000000-0006-0000-0500-00000D000000}">
      <text>
        <r>
          <rPr>
            <sz val="10"/>
            <rFont val="Arial"/>
            <family val="2"/>
          </rPr>
          <t>Cross-check only (not used in the calculation above). FY2021-23: exact sum of 'Cash and cash equivalents' + 'Short-term investments', Costco 10-K (SEC EDGAR). FY2024-25: exact per FY2025 10-K MD&amp;A ('Cash and cash equivalents and short-term investments were $15,284 and $11,144 at August 31, 2025, and September 1, 2024').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5" authorId="0" shapeId="0" xr:uid="{00000000-0006-0000-0600-000001000000}">
      <text>
        <r>
          <rPr>
            <sz val="10"/>
            <rFont val="Arial"/>
            <family val="2"/>
          </rPr>
          <t>Simplified FCF proxy: Net income x 1.28 (D&amp;A/SBC/WC add-back factor, calibrated to FY2025A CFO/NI ratio of ~1.65 moderated for scenario conservatism) less CapEx (as % of net sales x a revenue-to-NI scaling factor). See DCF Inputs tab for the full unlevered FCF build used in the actual valuation.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2" authorId="0" shapeId="0" xr:uid="{00000000-0006-0000-0700-000002000000}">
      <text>
        <r>
          <rPr>
            <sz val="10"/>
            <rFont val="Arial"/>
            <family val="2"/>
          </rPr>
          <t>Estimated: incremental working-capital investment required to support revenue growth, scaled roughly with the historical net-investment-in-inventory pattern flagged in the FY2025 10-K MD&amp;A. This is a simplification, not a full receivables/inventory/payables build.</t>
        </r>
      </text>
    </comment>
    <comment ref="B32" authorId="0" shapeId="0" xr:uid="{00000000-0006-0000-0700-000001000000}">
      <text>
        <r>
          <rPr>
            <sz val="10"/>
            <rFont val="Arial"/>
            <family val="2"/>
          </rPr>
          <t>Costco's minimal leverage (Debt/Equity ~0.17-0.34 across recent years per Task 1 research) means WACC is dominated by cost of equity. Beta of 0.86 (Yahoo Finance) reflects Costco's defensive, membership-fee-anchored revenue base relative to the broader market.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800-000001000000}">
      <text>
        <r>
          <rPr>
            <sz val="10"/>
            <rFont val="Arial"/>
            <family val="2"/>
          </rPr>
          <t>Base case: 2.5%, roughly in line with long-run US nominal GDP growth expectations, and conservative relative to Costco's own 8-10% historical sales CAGR (this is a PERPETUAL rate, not a near-term growth rate). See Sensitivity tab for the full range.</t>
        </r>
      </text>
    </comment>
    <comment ref="B22" authorId="0" shapeId="0" xr:uid="{00000000-0006-0000-0800-000002000000}">
      <text>
        <r>
          <rPr>
            <sz val="10"/>
            <rFont val="Arial"/>
            <family val="2"/>
          </rPr>
          <t>Quality check per standard DCF practice: Terminal Value ideally represents &lt;60-70% of total Enterprise Value; a higher share signals the explicit forecast period may be too short relative to the company's growth runway. Costco's result here runs above that threshold — flagged and discussed explicitly in the Valuation Analysis writeup as a real limitation of the 5-year Gordon Growth approach for a long-duration compounder like Costco.</t>
        </r>
      </text>
    </comment>
    <comment ref="B26" authorId="0" shapeId="0" xr:uid="{00000000-0006-0000-0800-000003000000}">
      <text>
        <r>
          <rPr>
            <sz val="10"/>
            <rFont val="Arial"/>
            <family val="2"/>
          </rPr>
          <t>Source: Yahoo Finance COST balance sheet, FY2025 (Aug 31, 2025) — 'Total Debt' $8.17bn, consistent across FY2024/25 per company filings (only $103mm repaid in FY2025 per 10-K MD&amp;A).</t>
        </r>
      </text>
    </comment>
    <comment ref="B27" authorId="0" shapeId="0" xr:uid="{00000000-0006-0000-0800-000004000000}">
      <text>
        <r>
          <rPr>
            <sz val="10"/>
            <rFont val="Arial"/>
            <family val="2"/>
          </rPr>
          <t>Source: Costco FY2025 10-K MD&amp;A (exact): 'Cash and cash equivalents and short-term investments were $15,284...at August 31, 2025.'</t>
        </r>
      </text>
    </comment>
    <comment ref="B32" authorId="0" shapeId="0" xr:uid="{00000000-0006-0000-0800-000005000000}">
      <text>
        <r>
          <rPr>
            <sz val="10"/>
            <rFont val="Arial"/>
            <family val="2"/>
          </rPr>
          <t>Source: stockanalysis.com COST statistics, Sept 2026 ('443.48 million shares outstanding').</t>
        </r>
      </text>
    </comment>
    <comment ref="B34" authorId="0" shapeId="0" xr:uid="{00000000-0006-0000-0800-000006000000}">
      <text>
        <r>
          <rPr>
            <sz val="10"/>
            <rFont val="Arial"/>
            <family val="2"/>
          </rPr>
          <t>Approximate closing price as of Sept 18-19, 2026, per Morningstar ($895.31, Sept 18) and Yahoo Finance (~$893.93 close). Multiple sources show COST trading in the $890-905 range in the days immediately preceding this report.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A00-000001000000}">
      <text>
        <r>
          <rPr>
            <sz val="10"/>
            <rFont val="Arial"/>
            <family val="2"/>
          </rPr>
          <t>Parent of Sam's Club (Costco's largest direct club-format competitor). Included as the closest structural comp despite Walmart's broader non-club retail mix. Source: stockanalysis.com, Sept 19 2026.</t>
        </r>
      </text>
    </comment>
    <comment ref="A6" authorId="0" shapeId="0" xr:uid="{00000000-0006-0000-0A00-000002000000}">
      <text>
        <r>
          <rPr>
            <sz val="10"/>
            <rFont val="Arial"/>
            <family val="2"/>
          </rPr>
          <t>General-merchandise mass retailer; overlaps with Costco on non-food/discretionary categories, no membership model. Source: stockanalysis.com, Sept 2026.</t>
        </r>
      </text>
    </comment>
    <comment ref="A7" authorId="0" shapeId="0" xr:uid="{00000000-0006-0000-0A00-000003000000}">
      <text>
        <r>
          <rPr>
            <sz val="10"/>
            <rFont val="Arial"/>
            <family val="2"/>
          </rPr>
          <t>Third national U.S. membership warehouse club; smaller scale, Northeast-concentrated, most structurally similar business model to Costco. Source: stockanalysis.com, 2026.</t>
        </r>
      </text>
    </comment>
    <comment ref="A8" authorId="0" shapeId="0" xr:uid="{00000000-0006-0000-0A00-000004000000}">
      <text>
        <r>
          <rPr>
            <sz val="10"/>
            <rFont val="Arial"/>
            <family val="2"/>
          </rPr>
          <t>Small-box value retailer; different format but same 'value-oriented defensive retail' investor bucket. Source: stockanalysis.com / multiples.vc, Sept 2026.</t>
        </r>
      </text>
    </comment>
    <comment ref="A9" authorId="0" shapeId="0" xr:uid="{00000000-0006-0000-0A00-000005000000}">
      <text>
        <r>
          <rPr>
            <sz val="10"/>
            <rFont val="Arial"/>
            <family val="2"/>
          </rPr>
          <t>Small-cap membership warehouse club operator in Central America/Caribbean/Colombia; same business model as Costco at much smaller scale and different geography. Source: stockanalysis.com, 2026.</t>
        </r>
      </text>
    </comment>
    <comment ref="A11" authorId="0" shapeId="0" xr:uid="{00000000-0006-0000-0A00-000006000000}">
      <text>
        <r>
          <rPr>
            <sz val="10"/>
            <rFont val="Arial"/>
            <family val="2"/>
          </rPr>
          <t>COST market cap and EV/EBITDA per stockanalysis.com (Sept 4 2026 snapshot: mkt cap $420.3bn — figure shown here, $397.1bn, uses the more recent Sept 18-19 closing price basis from Yahoo Finance for date-consistency with the 'current price' used elsewhere in this valuation). Forward P/E 43.25x and trailing P/E 45.04x per stockanalysis.com/Yahoo Finance, Sept 2026. Revenue growth of 10.2% reflects FY2026A actual net sales growth (Aug 2026 sales release). Beta 0.86 per Yahoo Finance.</t>
        </r>
      </text>
    </comment>
    <comment ref="C23" authorId="0" shapeId="0" xr:uid="{00000000-0006-0000-0A00-000007000000}">
      <text>
        <r>
          <rPr>
            <sz val="10"/>
            <rFont val="Arial"/>
            <family val="2"/>
          </rPr>
          <t>= FY2026E Operating income ('Income Statement' row 23) + FY2026E D&amp;A ('DCF Inputs' row 10).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B00-000007000000}">
      <text>
        <r>
          <rPr>
            <sz val="10"/>
            <rFont val="Arial"/>
            <family val="2"/>
          </rPr>
          <t>Weighted DOWN from the textbook 40-60% default. Rationale: a 5-year explicit Gordon Growth DCF structurally understates long-duration 'quality compounder' franchises like Costco (Terminal Value = 80% of Enterprise Value here, above the 60-70% quality-check threshold — a sign the explicit period is arguably too short for this specific business). Retained at 20% because it remains a rigorous, fully independent cross-check, not because its point estimate is treated as most likely.</t>
        </r>
      </text>
    </comment>
    <comment ref="F7" authorId="0" shapeId="0" xr:uid="{00000000-0006-0000-0B00-000008000000}">
      <text>
        <r>
          <rPr>
            <sz val="10"/>
            <rFont val="Arial"/>
            <family val="2"/>
          </rPr>
          <t>Weighted moderately. The peer set (Walmart, Target, BJ's, Dollar General, PriceSmart) are the best available public comps but are structurally inferior businesses (lower moat, lower renewal rates, no fee-funded margin structure) — so this method provides a useful FLOOR/sanity check on relative value, but understates fair value for a business the market has persistently, and arguably correctly, awarded a premium versus this peer set for over a decade.</t>
        </r>
      </text>
    </comment>
    <comment ref="C8" authorId="0" shapeId="0" xr:uid="{00000000-0006-0000-0B00-000001000000}">
      <text>
        <r>
          <rPr>
            <sz val="10"/>
            <rFont val="Arial"/>
            <family val="2"/>
          </rPr>
          <t>10-year average trailing P/E, per fullratio.com (Sept 2026 compilation): 'the mean historical PE ratio of Costco Wholesale over the last ten years is 39.51.' Applied here to FY2026E EPS as a simplified trailing-style anchor.</t>
        </r>
      </text>
    </comment>
    <comment ref="D8" authorId="0" shapeId="0" xr:uid="{00000000-0006-0000-0B00-000004000000}">
      <text>
        <r>
          <rPr>
            <sz val="10"/>
            <rFont val="Arial"/>
            <family val="2"/>
          </rPr>
          <t>5-year average trailing P/E, per fullratio.com: 'as an average over the last 5 years, COST stock has a PE ratio of 46.7.'</t>
        </r>
      </text>
    </comment>
    <comment ref="E8" authorId="0" shapeId="0" xr:uid="{00000000-0006-0000-0B00-000005000000}">
      <text>
        <r>
          <rPr>
            <sz val="10"/>
            <rFont val="Arial"/>
            <family val="2"/>
          </rPr>
          <t>3-year average trailing P/E, per fullratio.com: 'as an average over the last 3 years, COST stock has a PE ratio of 51.75' — reflects the post-2023 re-rating higher; using this as the HIGH end of the range acknowledges the market has structurally re-rated COST upward in recent years, not just reverted to very old history.</t>
        </r>
      </text>
    </comment>
    <comment ref="F9" authorId="0" shapeId="0" xr:uid="{00000000-0006-0000-0B00-000009000000}">
      <text>
        <r>
          <rPr>
            <sz val="10"/>
            <rFont val="Arial"/>
            <family val="2"/>
          </rPr>
          <t>Weighted HIGHEST of the four methods. Rationale: with no truly comparable public peer (Sam's Club is not separately listed; BJ's and PriceSmart are far smaller/lower-quality), Costco's own multi-year trading history is the most empirically grounded reflection of how the market actually prices this specific business, and captures the 'quality/moat premium' that DCF and peer-comps miss. Risk: this method is inherently backward-looking and could be misleading if the multiple itself is due for reversion (a real risk flagged in Task 1's risk assessment — decelerating US unit growth, Sam's Club fee-parity competition).</t>
        </r>
      </text>
    </comment>
    <comment ref="C10" authorId="0" shapeId="0" xr:uid="{00000000-0006-0000-0B00-000002000000}">
      <text>
        <r>
          <rPr>
            <sz val="10"/>
            <rFont val="Arial"/>
            <family val="2"/>
          </rPr>
          <t>Bear case: FY2030E EPS (Scenarios tab) x 30x exit multiple (de-rated, reflecting decelerating growth and competitive pressure), discounted back 4 years at cost of equity (7.97%).</t>
        </r>
      </text>
    </comment>
    <comment ref="E10" authorId="0" shapeId="0" xr:uid="{00000000-0006-0000-0B00-000006000000}">
      <text>
        <r>
          <rPr>
            <sz val="10"/>
            <rFont val="Arial"/>
            <family val="2"/>
          </rPr>
          <t>Bull case: FY2030E EPS x 45x exit multiple (sustained premium, reflecting accelerating growth), discounted back 4 years at cost of equity.</t>
        </r>
      </text>
    </comment>
    <comment ref="F10" authorId="0" shapeId="0" xr:uid="{00000000-0006-0000-0B00-00000A000000}">
      <text>
        <r>
          <rPr>
            <sz val="10"/>
            <rFont val="Arial"/>
            <family val="2"/>
          </rPr>
          <t>Weighted to reflect explicit scenario-probability-weighting (20% Bull / 60% Base / 20% Bear, per the Scenarios tab rationale), which triangulates between the DCF and historical-multiple approaches by combining a fundamentals-driven EPS path with a market-based exit multiple.</t>
        </r>
      </text>
    </comment>
    <comment ref="C18" authorId="0" shapeId="0" xr:uid="{00000000-0006-0000-0B00-000003000000}">
      <text>
        <r>
          <rPr>
            <sz val="10"/>
            <rFont val="Arial"/>
            <family val="2"/>
          </rPr>
          <t>Represents the DCF-to-scenario-based range where the valuation carries a genuine margin of safety, roughly in line with the low end of current Wall Street analyst targets ($740 low, per S&amp;P Global/stockanalysis.com Sept 2026 compilation) and consistent with the stock's own 52-week range (52-week low $844.06, but that still sits above this entry zone — implying a deeper pullback than the past year has offered would be required for full conviction; existing holders are in a different position than new buyers, per the recommendation rationale.)</t>
        </r>
      </text>
    </comment>
  </commentList>
</comments>
</file>

<file path=xl/sharedStrings.xml><?xml version="1.0" encoding="utf-8"?>
<sst xmlns="http://schemas.openxmlformats.org/spreadsheetml/2006/main" count="503" uniqueCount="395">
  <si>
    <t>Costco Wholesale Corporation (NASDAQ: COST) — Financial Model</t>
  </si>
  <si>
    <t>Equity Research Initiation Coverage — Task 2: Financial Modeling | Prepared September 20, 2026</t>
  </si>
  <si>
    <t>IMPORTANT — TIMING NOTE</t>
  </si>
  <si>
    <t>•  Costco reports fiscal Q4/full-year 2026 GAAP results (net income, EPS, complete balance sheet) on September 24, 2026 — AFTER this model was built.</t>
  </si>
  <si>
    <t>•  FY2026 net sales ($297,300mm) were already disclosed via Costco's August 2026 Sales Results press release (Sept 2, 2026) and are used as a hard input where noted.</t>
  </si>
  <si>
    <t>•  Everything below the net-sales line for FY2026 (membership fees, costs, net income, EPS) is a PROJECTION pending the Sept 24 earnings release. Re-run this model against actual FY2026 results once reported.</t>
  </si>
  <si>
    <t>DATA QUALITY LEGEND</t>
  </si>
  <si>
    <t>•  EXACT: Figure taken directly from a Costco SEC filing (10-K) or official earnings press release, cross-checked against at least one independent source.</t>
  </si>
  <si>
    <t>•  ESTIMATED: Figure not independently located in the sources reviewed for this build; derived using a disclosed methodology (noted in the relevant cell comment). Flagged in blue with an explanatory comment throughout the model.</t>
  </si>
  <si>
    <t>•  PROJECTED: Forward-looking analyst assumption for FY2026E-FY2030E, shown in bold blue and fully editable — the model recalculates automatically when these are changed.</t>
  </si>
  <si>
    <t>PRIMARY SOURCES USED</t>
  </si>
  <si>
    <t>•  Costco Wholesale Corporation, Form 10-K, FY2025 (year ended Aug 31, 2025), filed Oct 2025. SEC EDGAR: sec.gov/Archives/edgar/data/909832/000090983225000101/cost-20250831.htm</t>
  </si>
  <si>
    <t>•  Costco Wholesale Corporation, Form 10-K, FY2024 (year ended Sep 1, 2024), filed Oct 2024. SEC EDGAR: sec.gov/Archives/edgar/data/909832/000090983224000049/cost-20240901.htm</t>
  </si>
  <si>
    <t>•  Costco Wholesale Corporation, Form 10-K, FY2023 (year ended Sep 3, 2023), filed Oct 2023. SEC EDGAR: sec.gov/Archives/edgar/data/909832/000090983223000042/cost-20230903.htm</t>
  </si>
  <si>
    <t>•  Costco Wholesale Corporation, Form 10-K, FY2022 (year ended Aug 28, 2022). SEC EDGAR: sec.gov/Archives/edgar/data/909832/000090983222000021/cost-20220828.htm</t>
  </si>
  <si>
    <t>•  Costco Wholesale Corporation, Form 10-K, FY2021 (year ended Aug 29, 2021). SEC EDGAR: sec.gov/Archives/edgar/data/909832/000090983221000014/cost-20210829.htm</t>
  </si>
  <si>
    <t>•  Costco Wholesale Corporation, Annual Report FY2023 (Form ARS), full consolidated statements of income FY2021-2023 side-by-side. SEC EDGAR: sec.gov/Archives/edgar/data/909832/000090983223000060/cost2023annualreport.pdf</t>
  </si>
  <si>
    <t>•  Costco Wholesale Corporation, 'Reports Fourth Quarter and Fiscal Year 2025 Operating Results' press release, Sept 25, 2025.</t>
  </si>
  <si>
    <t>•  Costco Wholesale Corporation, 'Reports August Sales Results' (FY2026 full-year net sales), Sept 2, 2026. GlobeNewswire / Nasdaq / SEC 8-K.</t>
  </si>
  <si>
    <t>•  Costco Wholesale Corporation, 'Reports Third Quarter and Year-To-Date Operating Results For Fiscal 2026' press release, May 28, 2026.</t>
  </si>
  <si>
    <t>•  MarketScreener, 'Costco Wholesale: Annual Report for Fiscal Year Ending 08/31, 2025 (Form 10-K)' — MD&amp;A excerpts (cash flow, debt repayment, buyback detail), Oct 2025.</t>
  </si>
  <si>
    <t>•  Yahoo Finance, Costco Wholesale Corporation (COST) Balance Sheet — FY2022-2025 aggregate totals (Total Assets, Total Liabilities, Total Equity, Total Debt).</t>
  </si>
  <si>
    <t>•  Stock Analysis on Net, Costco Wholesale Corp. Income Statement / Balance Sheet: Assets — long-run trend commentary used to cross-check FY2024-25 inventory and PP&amp;E figures.</t>
  </si>
  <si>
    <t>•  MacroTrends, Costco Operating Income / Gross Profit / Net Income 2012-2026 — used to cross-validate operating income series FY2021-2025.</t>
  </si>
  <si>
    <t>•  CliffsNotes (University of Pittsburgh coursework compilation), 'Chapter 4 Costco comprehensive' — verbatim FY2023 balance sheet transcription, cross-checked against 10-K aggregate totals.</t>
  </si>
  <si>
    <t>KEY LIMITATIONS OF THIS MODEL</t>
  </si>
  <si>
    <t>•  Geographic segment revenue for FY2024-25 is ESTIMATED (FY2023 mix rolled forward using disclosed growth rates, scaled to tie to total revenue) — exact dollar segment tables for those two years were not independently located.</t>
  </si>
  <si>
    <t>•  Several FY2021-2024 cash flow sub-lines (stock-based compensation, working capital detail) are directional ESTIMATES, not exact 10-K figures — flagged throughout.</t>
  </si>
  <si>
    <t>•  FY2024-2025 balance sheet sub-line detail (AP, accrued liabilities, other LT assets/liabilities) is allocated proportionally to known aggregate totals — the aggregate totals themselves (Total Assets, Total Liabilities, Total Equity) are exact.</t>
  </si>
  <si>
    <t>•  All FY2026E-2030E figures are analyst projections, not company guidance, except: FY2026E net sales (hard actual), FY2026E CapEx guidance range ($6.0-6.5bn, per company 10-K outlook).</t>
  </si>
  <si>
    <t>•  This model should be treated as a rigorous first draft for Task 3 (Valuation) and Task 5 (Report Assembly) — not as a substitute for Costco's own audited financial statements.</t>
  </si>
  <si>
    <t>Costco Wholesale Corporation (NASDAQ: COST) — Equity Research</t>
  </si>
  <si>
    <t>Executive Summary | Prepared September 20, 2026 | Pre-Q4 FY2026 earnings (due Sept 24, 2026)</t>
  </si>
  <si>
    <t>Rating</t>
  </si>
  <si>
    <t>HOLD</t>
  </si>
  <si>
    <t>12-Month Price Target</t>
  </si>
  <si>
    <t>$630</t>
  </si>
  <si>
    <t>Current Price (Sept 18-19, 2026)</t>
  </si>
  <si>
    <t>$895.00</t>
  </si>
  <si>
    <t>Implied Upside / (Downside)</t>
  </si>
  <si>
    <t>-29.6%</t>
  </si>
  <si>
    <t>Suggested Entry Zone (new capital)</t>
  </si>
  <si>
    <t>$600 - $700</t>
  </si>
  <si>
    <t>Wall Street Consensus (reference only)</t>
  </si>
  <si>
    <t>Buy / Moderate Buy, avg. target ~$1,072-1,089 (35 analysts)</t>
  </si>
  <si>
    <t>THE BOTTOM LINE</t>
  </si>
  <si>
    <t>This is not a 'the business is broken' call. Task 1's research confirms Costco remains one of the highest-quality franchises in retail: unmatched membership renewal rates (89.8% worldwide), a fee-funded margin structure competitors cannot easily replicate, and a management culture that has resisted trading member trust for near-term margin across four decades and three CEO transitions. The problem is the PRICE. Four independent valuation methods -- DCF, trading comps, historical own-multiple, and probability-weighted scenarios -- span $281 to $1,026 per share, but even the most generous methods here land below the $895 the stock trades at today, and well below the Street's own $1,072 average target. If you already own COST for the moat and the quality, a HOLD is defensible. If you're considering new money at $895, the math argues you're paying for growth that isn't guaranteed, with very little margin of safety if any single assumption -- comp-sales deceleration, Sam's Club fee-parity competition, a garden-variety multiple correction -- goes against you.</t>
  </si>
  <si>
    <t>VALUATION METHOD SUMMARY (see 'Valuation Summary' tab for full detail)</t>
  </si>
  <si>
    <t>Method</t>
  </si>
  <si>
    <t>Base Case Value | Weight</t>
  </si>
  <si>
    <t>DCF (5-yr explicit + Gordon Growth terminal value)</t>
  </si>
  <si>
    <t>$281  |  weight 20%</t>
  </si>
  <si>
    <t>Trading Comps (peer EV/EBITDA + Fwd P/E, 5-peer set)</t>
  </si>
  <si>
    <t>$419  |  weight 25%</t>
  </si>
  <si>
    <t>Historical Own-Multiple Reversion (3/5/10-yr avg P/E)</t>
  </si>
  <si>
    <t>$926  |  weight 30%</t>
  </si>
  <si>
    <t>Scenario-Based (prob-weighted Bull/Base/Bear)</t>
  </si>
  <si>
    <t>$770  |  weight 25%</t>
  </si>
  <si>
    <t>WEIGHTED AVERAGE TARGET</t>
  </si>
  <si>
    <t>$630 (rounded)</t>
  </si>
  <si>
    <t>WHY HOLD, NOT SELL</t>
  </si>
  <si>
    <t>A -30% implied gap vs. current price would, under strict quantitative banding (&gt;15% upside=Buy, +/-15%=Hold, &lt;-15%=Sell), argue for Sell/Underweight. Three things pull this back to HOLD: (1) Business quality is not in question -- the moat documented in Task 1 is real. (2) Valuation-method dispersion is unusually wide here ($281 to $1,026, a 3.6x spread), signaling genuine uncertainty about fair value rather than high-confidence overvaluation. (3) The stock has already pulled back ~18% from its 52-week high ($1,096.50) and trades below its own 3-year average multiple (51.75x trailing vs. current ~45-48x) -- some of the excess has already been worked off.</t>
  </si>
  <si>
    <t>WHY NOT BUY</t>
  </si>
  <si>
    <t>Every method used here that isn't anchored to Costco's own recent trading history -- DCF, peer comps -- lands 40-70% below the current price. The bull case for owning COST at $895 requires a specific bet: that the market's own extrapolation of Costco's historical premium is the right anchor, and that DCF/peer-comps are simply the wrong tools for this business. That may be correct -- it has been correct for a decade -- but it is a bet on continuity of an already-rich valuation, not a bet with a margin of safety.</t>
  </si>
  <si>
    <t>Costco Wholesale Corporation — Revenue Model</t>
  </si>
  <si>
    <t>Task 2: Financial Modeling | Source: Costco Form 10-K filings, FY2021-FY2025 (SEC EDGAR); FY2026E anchored to actual disclosed net sales</t>
  </si>
  <si>
    <t>All figures in US$ millions except per-share and ratio data, unless noted. Fiscal year ends ~Aug 31 (52/53-week fiscal year).</t>
  </si>
  <si>
    <t>A. REVENUE BY MERCHANDISE CATEGORY</t>
  </si>
  <si>
    <t>($ in millions)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</si>
  <si>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</si>
  <si>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</si>
  <si>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</si>
  <si>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</si>
  <si>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</si>
  <si>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</si>
  <si>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</si>
  <si>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</si>
  <si>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</si>
  <si>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</si>
  <si>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Foods and Sundries</t>
  </si>
  <si>
    <t xml:space="preserve">    YoY growth %</t>
  </si>
  <si>
    <t>Non-Foods</t>
  </si>
  <si>
    <t>Fresh Foods</t>
  </si>
  <si>
    <t>Warehouse Ancillary &amp; Other Businesses</t>
  </si>
  <si>
    <t>TOTAL NET SALES</t>
  </si>
  <si>
    <t xml:space="preserve">    Total Net Sales YoY growth %</t>
  </si>
  <si>
    <t>Memo: FY2026A actual net sales (Aug 2026 sales release, pre-audit)</t>
  </si>
  <si>
    <t xml:space="preserve">    Model vs. actual variance (2026E)</t>
  </si>
  <si>
    <t>Membership Fees</t>
  </si>
  <si>
    <t xml:space="preserve">    YoY growth % (2021-25A) / Growth assumption (2026E-30E, blue)</t>
  </si>
  <si>
    <t>TOTAL REVENUE (Net Sales + Membership Fees)</t>
  </si>
  <si>
    <t>B. REVENUE BY GEOGRAPHIC SEGMENT (Total revenue basis, per 10-K segment footnote)</t>
  </si>
  <si>
    <t>United States — % of total revenue</t>
  </si>
  <si>
    <t xml:space="preserve">    United States</t>
  </si>
  <si>
    <t xml:space="preserve">          YoY growth %</t>
  </si>
  <si>
    <t>Canada — % of total revenue</t>
  </si>
  <si>
    <t xml:space="preserve">    Canada</t>
  </si>
  <si>
    <t>Other International — % of total revenue</t>
  </si>
  <si>
    <t xml:space="preserve">    Other International</t>
  </si>
  <si>
    <t>TOTAL REVENUE (Geography basis)</t>
  </si>
  <si>
    <t xml:space="preserve">    Check vs. Total Revenue (category basis) — should be exactly 0 by construction</t>
  </si>
  <si>
    <t xml:space="preserve">    Memo: shares (US/Canada/Other Intl) must sum to 100% — check</t>
  </si>
  <si>
    <t>Costco Wholesale Corporation — Income Statement</t>
  </si>
  <si>
    <t>Task 2: Financial Modeling | FY2021A-FY2025A: exact, Costco 10-K filings (SEC EDGAR). FY2026E-FY2030E: analyst projections.</t>
  </si>
  <si>
    <t>REVENUE</t>
  </si>
  <si>
    <t>Net sales</t>
  </si>
  <si>
    <t xml:space="preserve">      YoY growth %</t>
  </si>
  <si>
    <t>Membership fees</t>
  </si>
  <si>
    <t>Total revenue</t>
  </si>
  <si>
    <t>OPERATING EXPENSES</t>
  </si>
  <si>
    <t>Merchandise costs</t>
  </si>
  <si>
    <t xml:space="preserve">      Gross margin % (of net sales)</t>
  </si>
  <si>
    <t xml:space="preserve">    Gross margin (Net sales - Merchandise costs)</t>
  </si>
  <si>
    <t>Selling, general and administrative</t>
  </si>
  <si>
    <t xml:space="preserve">      % of net sales</t>
  </si>
  <si>
    <t>OPERATING INCOME</t>
  </si>
  <si>
    <t xml:space="preserve">      Operating margin % (of total revenue)</t>
  </si>
  <si>
    <t>OTHER INCOME (EXPENSE)</t>
  </si>
  <si>
    <t>Interest expense</t>
  </si>
  <si>
    <t>Interest income and other, net</t>
  </si>
  <si>
    <t>INCOME BEFORE INCOME TAXES</t>
  </si>
  <si>
    <t>Provision for income taxes</t>
  </si>
  <si>
    <t xml:space="preserve">      Effective tax rate</t>
  </si>
  <si>
    <t>Net income including noncontrolling interests</t>
  </si>
  <si>
    <t>Net income attributable to noncontrolling interests</t>
  </si>
  <si>
    <t>NET INCOME ATTRIBUTABLE TO COSTCO</t>
  </si>
  <si>
    <t xml:space="preserve">      Net margin % (of total revenue)</t>
  </si>
  <si>
    <t>SHARES &amp; PER-SHARE DATA</t>
  </si>
  <si>
    <t>Diluted weighted-average shares (000s)</t>
  </si>
  <si>
    <t>Diluted EPS</t>
  </si>
  <si>
    <t xml:space="preserve">      Diluted EPS YoY growth %</t>
  </si>
  <si>
    <t>Costco Wholesale Corporation — Cash Flow Statement</t>
  </si>
  <si>
    <t>Task 2: Financial Modeling | Operating/Investing cash flow FY2024A-25A exact (10-K); FY2021A-23A D&amp;A and CapEx exact (10-K segment note); other lines estimated where noted.</t>
  </si>
  <si>
    <t>OPERATING ACTIVITIES</t>
  </si>
  <si>
    <t>Net income attributable to Costco</t>
  </si>
  <si>
    <t>Depreciation and amortization</t>
  </si>
  <si>
    <t>Stock-based compensation (est.)</t>
  </si>
  <si>
    <t>Changes in working capital (net)</t>
  </si>
  <si>
    <t>CASH FROM OPERATIONS</t>
  </si>
  <si>
    <t xml:space="preserve">      CFO margin % (of total revenue)</t>
  </si>
  <si>
    <t>INVESTING ACTIVITIES</t>
  </si>
  <si>
    <t>Capital expenditures</t>
  </si>
  <si>
    <t>Other investing activities (net)</t>
  </si>
  <si>
    <t>CASH FROM INVESTING</t>
  </si>
  <si>
    <t>FREE CASH FLOW (CFO + CapEx)</t>
  </si>
  <si>
    <t xml:space="preserve">      FCF margin % (of total revenue)</t>
  </si>
  <si>
    <t>FINANCING ACTIVITIES</t>
  </si>
  <si>
    <t>Debt issuance / (repayment), net</t>
  </si>
  <si>
    <t>Share repurchases</t>
  </si>
  <si>
    <t>Dividends paid (regular + special)</t>
  </si>
  <si>
    <t>Other financing activities (net)</t>
  </si>
  <si>
    <t>CASH FROM FINANCING</t>
  </si>
  <si>
    <t>NET CHANGE IN CASH</t>
  </si>
  <si>
    <t>Costco Wholesale Corporation — Balance Sheet</t>
  </si>
  <si>
    <t>Task 2: Financial Modeling | FY2021A-23A: exact, Costco 10-K (SEC EDGAR). FY2024A-25A: key totals exact; sub-line detail allocated proportionally where noted.</t>
  </si>
  <si>
    <t>ASSETS</t>
  </si>
  <si>
    <t>Current Assets:</t>
  </si>
  <si>
    <t xml:space="preserve">  Cash &amp; cash equivalents + short-term investments (plug — see memo row below)</t>
  </si>
  <si>
    <t xml:space="preserve">  Receivables, net</t>
  </si>
  <si>
    <t xml:space="preserve">  Merchandise inventories</t>
  </si>
  <si>
    <t xml:space="preserve">  Other current assets</t>
  </si>
  <si>
    <t>TOTAL CURRENT ASSETS</t>
  </si>
  <si>
    <t>Property and equipment, net</t>
  </si>
  <si>
    <t>Operating lease ROU + other long-term assets</t>
  </si>
  <si>
    <t>TOTAL ASSETS</t>
  </si>
  <si>
    <t xml:space="preserve">      Memo: Total assets per Yahoo Finance / 10-K aggregates</t>
  </si>
  <si>
    <t>LIABILITIES</t>
  </si>
  <si>
    <t>Current Liabilities:</t>
  </si>
  <si>
    <t xml:space="preserve">  Accounts payable</t>
  </si>
  <si>
    <t xml:space="preserve">  Accrued liabilities (salaries, member rewards, deferred fees, other)</t>
  </si>
  <si>
    <t xml:space="preserve">  Current portion of long-term debt</t>
  </si>
  <si>
    <t>TOTAL CURRENT LIABILITIES</t>
  </si>
  <si>
    <t>Long-term debt, excluding current portion</t>
  </si>
  <si>
    <t>Other long-term liabilities (incl. operating leases)</t>
  </si>
  <si>
    <t>TOTAL LIABILITIES</t>
  </si>
  <si>
    <t>EQUITY</t>
  </si>
  <si>
    <t>Total Costco stockholders' equity</t>
  </si>
  <si>
    <t>TOTAL LIABILITIES + EQUITY</t>
  </si>
  <si>
    <t>BALANCE CHECK (Total Assets - Total Liab&amp;Equity, should = 0)</t>
  </si>
  <si>
    <t xml:space="preserve">    Memo: Cash &amp; ST investments per 10-K / press release (actual, for comparison)</t>
  </si>
  <si>
    <t xml:space="preserve">      Plug cash vs. actual cash, variance ($mm)</t>
  </si>
  <si>
    <t>KEY BALANCE SHEET RATIOS</t>
  </si>
  <si>
    <t>Current ratio (Current Assets / Current Liabilities)</t>
  </si>
  <si>
    <t>Debt-to-equity (Total debt / Total equity)</t>
  </si>
  <si>
    <t>Return on equity (Net income / Total equity)</t>
  </si>
  <si>
    <t>Costco Wholesale Corporation — Bull / Base / Bear Scenarios</t>
  </si>
  <si>
    <t>Task 2: Financial Modeling | 5-year cumulative view, FY2026E-FY2030E terminal year (2030E) shown</t>
  </si>
  <si>
    <t>ASSUMPTIONS</t>
  </si>
  <si>
    <t>BULL</t>
  </si>
  <si>
    <t>BASE</t>
  </si>
  <si>
    <t>BEAR</t>
  </si>
  <si>
    <t>Revenue CAGR (FY2025A-FY2030E)</t>
  </si>
  <si>
    <t>Gross margin, FY2030E</t>
  </si>
  <si>
    <t>SG&amp;A % of net sales, FY2030E</t>
  </si>
  <si>
    <t>Operating margin, FY2030E (derived)</t>
  </si>
  <si>
    <t>CapEx as % of net sales, FY2030E</t>
  </si>
  <si>
    <t>Effective tax rate, FY2030E</t>
  </si>
  <si>
    <t>Diluted share count reduction, cumulative FY26-30</t>
  </si>
  <si>
    <t>Scenario rationale:</t>
  </si>
  <si>
    <t>Bull case:</t>
  </si>
  <si>
    <t>Executive-membership penetration keeps climbing, China expansion accelerates beyond current cautious pace, digital/delivery (DoorDash/Uber Eats partnerships) drives outsized comp growth, and gross margin expands modestly as fresh-food/co-branded-card mix improves — consistent with the top end of sell-side price targets (UBS $1,275, TD Cowen $1,175) referenced in Task 1 research.</t>
  </si>
  <si>
    <t>Base case:</t>
  </si>
  <si>
    <t>Trends continue at roughly the FY2025A run-rate: high-single-digit revenue growth, flat-to-slightly-improving gross margin, continued SG&amp;A leverage, and CapEx in line with management's disclosed $6.0-6.5bn FY2026 guidance, scaling with warehouse growth thereafter.</t>
  </si>
  <si>
    <t>Bear case:</t>
  </si>
  <si>
    <t>Comparable-sales growth decelerates toward mid-single digits as U.S. warehouse saturation bites (a risk management itself has flagged per Task 1 research), Sam's Club fee-parity intensifies competition, tariff/input-cost pressure compresses gross margin, and the premium valuation multiple compresses alongside slower growth.</t>
  </si>
  <si>
    <t>OUTPUT SUMMARY (FY2030E terminal year, derived from assumptions above)</t>
  </si>
  <si>
    <t>FY2030E Net sales ($mm)</t>
  </si>
  <si>
    <t>FY2030E Membership fees ($mm, held at base-case growth path)</t>
  </si>
  <si>
    <t>FY2030E Gross margin ($mm)</t>
  </si>
  <si>
    <t>FY2030E SG&amp;A ($mm)</t>
  </si>
  <si>
    <t>FY2030E Operating income ($mm)</t>
  </si>
  <si>
    <t xml:space="preserve">      FY2030E Operating margin %</t>
  </si>
  <si>
    <t>FY2030E Net income ($mm, approx., excl. interest/other)</t>
  </si>
  <si>
    <t>FY2030E Diluted shares (mm)</t>
  </si>
  <si>
    <t>FY2030E Diluted EPS</t>
  </si>
  <si>
    <t>FY2030E Free cash flow ($mm, approx.)</t>
  </si>
  <si>
    <t>Costco Wholesale Corporation — DCF Inputs (Unlevered Free Cash Flow Build)</t>
  </si>
  <si>
    <t>Task 2: Financial Modeling | Feeds Task 3 Valuation Analysis. Projection years only (FY2026E-FY2030E); historicals shown for context.</t>
  </si>
  <si>
    <t>EBIT (= Operating income)</t>
  </si>
  <si>
    <t>Tax rate (effective, per Income Statement)</t>
  </si>
  <si>
    <t>NOPAT (EBIT x (1 - tax rate))</t>
  </si>
  <si>
    <t>Add: Depreciation &amp; amortization</t>
  </si>
  <si>
    <t>Less: Capital expenditures</t>
  </si>
  <si>
    <t>Less: Change in net working capital (est.)</t>
  </si>
  <si>
    <t>UNLEVERED FREE CASH FLOW</t>
  </si>
  <si>
    <t xml:space="preserve">      UFCF margin % (of total revenue)</t>
  </si>
  <si>
    <t>TERMINAL YEAR METRICS (FY2030E) — used in Task 3 Valuation</t>
  </si>
  <si>
    <t>FY2030E Revenue</t>
  </si>
  <si>
    <t>FY2030E EBITDA (EBIT + D&amp;A)</t>
  </si>
  <si>
    <t>FY2030E EBIT</t>
  </si>
  <si>
    <t>FY2030E Unlevered FCF</t>
  </si>
  <si>
    <t>WACC BUILD-UP INPUTS (for Task 3)</t>
  </si>
  <si>
    <t>Risk-free rate (10-yr UST, approx.)</t>
  </si>
  <si>
    <t>Equity risk premium (approx., US large-cap)</t>
  </si>
  <si>
    <t>Beta (5-year monthly, per Yahoo Finance)</t>
  </si>
  <si>
    <t>Cost of equity (CAPM: Rf + Beta x ERP)</t>
  </si>
  <si>
    <t>Pre-tax cost of debt (approx., per Senior Notes coupons)</t>
  </si>
  <si>
    <t>Effective tax rate (for after-tax cost of debt)</t>
  </si>
  <si>
    <t>Target Debt / Total Capital (approx., per market cap &amp; total debt)</t>
  </si>
  <si>
    <t>WACC (= We x Ke + Wd x Kd x (1-t))</t>
  </si>
  <si>
    <t>Costco Wholesale Corporation — DCF Valuation</t>
  </si>
  <si>
    <t>Task 3: Valuation Analysis | 5-year explicit forecast (FY2026E-FY2030E) + Gordon Growth terminal value</t>
  </si>
  <si>
    <t>UNLEVERED FREE CASH FLOW (from DCF Inputs tab)</t>
  </si>
  <si>
    <t>Unlevered FCF ($mm)</t>
  </si>
  <si>
    <t>Discount period (years)</t>
  </si>
  <si>
    <t>WACC &amp; TERMINAL GROWTH ASSUMPTIONS</t>
  </si>
  <si>
    <t>WACC (from DCF Inputs tab)</t>
  </si>
  <si>
    <t>Terminal (perpetuity) growth rate</t>
  </si>
  <si>
    <t>DISCOUNTED CASH FLOW CALCULATION</t>
  </si>
  <si>
    <t>Discount factor = 1/(1+WACC)^t</t>
  </si>
  <si>
    <t>PV of Unlevered FCF ($mm)</t>
  </si>
  <si>
    <t>Sum of PV of explicit-period FCF</t>
  </si>
  <si>
    <t>TERMINAL VALUE (Gordon Growth Method)</t>
  </si>
  <si>
    <t>Terminal Value = FCF(2030E) x (1+g) / (WACC-g)</t>
  </si>
  <si>
    <t>PV of Terminal Value</t>
  </si>
  <si>
    <t xml:space="preserve">  Memo: Terminal Value % of Enterprise Value (quality check)</t>
  </si>
  <si>
    <t>ENTERPRISE VALUE TO EQUITY VALUE BRIDGE</t>
  </si>
  <si>
    <t>ENTERPRISE VALUE</t>
  </si>
  <si>
    <t>Less: Total debt (current + long-term)</t>
  </si>
  <si>
    <t>Plus: Cash &amp; cash equivalents + short-term investments</t>
  </si>
  <si>
    <t>Net debt / (net cash)</t>
  </si>
  <si>
    <t>EQUITY VALUE</t>
  </si>
  <si>
    <t>PRICE PER SHARE</t>
  </si>
  <si>
    <t>Diluted shares outstanding (current, mm)</t>
  </si>
  <si>
    <t>DCF-IMPLIED PRICE PER SHARE</t>
  </si>
  <si>
    <t>Current share price (for reference)</t>
  </si>
  <si>
    <t>Implied upside / (downside) to DCF value</t>
  </si>
  <si>
    <t>REVERSE DCF (What growth rate does the current price imply?)</t>
  </si>
  <si>
    <t>Costco Wholesale Corporation — DCF Sensitivity Analysis</t>
  </si>
  <si>
    <t>Task 3: Valuation Analysis | Implied price per share across WACC and terminal growth rate combinations</t>
  </si>
  <si>
    <t>TABLE 1: Implied Price per Share — WACC (rows) vs. Terminal Growth Rate (columns)</t>
  </si>
  <si>
    <t>WACC \ Terminal g</t>
  </si>
  <si>
    <t>Base case (WACC 7.9%, g 2.5%) is highlighted implicitly by row 4 (0.0786 nearest), column 3 (2.5%) above.</t>
  </si>
  <si>
    <t>TABLE 2: Implied Price per Share — Revenue CAGR (FY26-30E, rows) vs. Terminal EBITDA Margin (columns)</t>
  </si>
  <si>
    <t>Rev CAGR \ FY30E EBITDA Margin</t>
  </si>
  <si>
    <t>Costco Wholesale Corporation — Trading Comparables Analysis</t>
  </si>
  <si>
    <t>Task 3: Valuation Analysis | Market data as of September 18-19, 2026. Sources: stockanalysis.com, Yahoo Finance, GuruFocus (see cell comments).</t>
  </si>
  <si>
    <t>Company</t>
  </si>
  <si>
    <t>Ticker</t>
  </si>
  <si>
    <t>Mkt Cap
($B)</t>
  </si>
  <si>
    <t>EV/EBITDA
(TTM)</t>
  </si>
  <si>
    <t>Fwd P/E</t>
  </si>
  <si>
    <t>Trailing P/E</t>
  </si>
  <si>
    <t>Rev Growth
(latest FY)</t>
  </si>
  <si>
    <t>Beta</t>
  </si>
  <si>
    <t>Walmart Inc.</t>
  </si>
  <si>
    <t>WMT</t>
  </si>
  <si>
    <t>Target Corporation</t>
  </si>
  <si>
    <t>TGT</t>
  </si>
  <si>
    <t>BJ's Wholesale Club Holdings</t>
  </si>
  <si>
    <t>BJ</t>
  </si>
  <si>
    <t>Dollar General Corporation</t>
  </si>
  <si>
    <t>DG</t>
  </si>
  <si>
    <t>PriceSmart, Inc.</t>
  </si>
  <si>
    <t>PSMT</t>
  </si>
  <si>
    <t>COSTCO WHOLESALE CORPORATION (target)</t>
  </si>
  <si>
    <t>COST</t>
  </si>
  <si>
    <t>STATISTICAL SUMMARY (peer set only, excl. Costco)</t>
  </si>
  <si>
    <t>Maximum</t>
  </si>
  <si>
    <t>75th Percentile</t>
  </si>
  <si>
    <t>Median</t>
  </si>
  <si>
    <t>25th Percentile</t>
  </si>
  <si>
    <t>Minimum</t>
  </si>
  <si>
    <t>Note: Market data as of September 18-19, 2026. TTM = trailing twelve months. Sources: stockanalysis.com, Yahoo Finance, GuruFocus, MultiplesVC (see cell comments per company). All figures independently cross-checked against at least one additional source where noted in Task 1 research.</t>
  </si>
  <si>
    <t>APPLY PEER MULTIPLES TO COSTCO FY2026E ESTIMATES</t>
  </si>
  <si>
    <t>Costco FY2026E EBITDA ($mm)</t>
  </si>
  <si>
    <t>Costco FY2026E Diluted EPS ($)</t>
  </si>
  <si>
    <t>Basis</t>
  </si>
  <si>
    <t>Peer Multiple</t>
  </si>
  <si>
    <t>Implied EV/Equity Value ($mm)</t>
  </si>
  <si>
    <t>Implied Price/Share</t>
  </si>
  <si>
    <t>EV/EBITDA — 25th pctile</t>
  </si>
  <si>
    <t>EV/EBITDA — Median</t>
  </si>
  <si>
    <t>EV/EBITDA — 75th pctile</t>
  </si>
  <si>
    <t>Fwd P/E — 25th pctile</t>
  </si>
  <si>
    <t>Fwd P/E — Median</t>
  </si>
  <si>
    <t>Fwd P/E — 75th pctile</t>
  </si>
  <si>
    <t>Trading comps blended range (avg of EV/EBITDA and Fwd P/E medians):</t>
  </si>
  <si>
    <t>Costco Wholesale Corporation — Valuation Summary &amp; Recommendation</t>
  </si>
  <si>
    <t>Task 3: Valuation Analysis | Prepared September 20, 2026 (pre-Q4 FY2026 earnings, due Sept 24, 2026)</t>
  </si>
  <si>
    <t>VALUATION METHOD SUMMARY</t>
  </si>
  <si>
    <t>Low</t>
  </si>
  <si>
    <t>Base/Median</t>
  </si>
  <si>
    <t>High</t>
  </si>
  <si>
    <t>Weight</t>
  </si>
  <si>
    <t>Weighted Contribution</t>
  </si>
  <si>
    <t>DCF (5-yr explicit + Gordon Growth TV)</t>
  </si>
  <si>
    <t>Trading Comps (peer EV/EBITDA + Fwd P/E)</t>
  </si>
  <si>
    <t xml:space="preserve">  Memo: trailing P/E multiple applied</t>
  </si>
  <si>
    <t>Historical Own-Multiple Reversion</t>
  </si>
  <si>
    <t>Scenario-Based (Bull/Base/Bear, prob-weighted)</t>
  </si>
  <si>
    <t>WEIGHTED AVERAGE 12-MONTH PRICE TARGET</t>
  </si>
  <si>
    <t>CURRENT PRICE, UPSIDE/DOWNSIDE &amp; RATING</t>
  </si>
  <si>
    <t>Current share price (as of Sept 18-19, 2026)</t>
  </si>
  <si>
    <t>12-month price target (rounded)</t>
  </si>
  <si>
    <t>Implied upside / (downside) to target</t>
  </si>
  <si>
    <t>Suggested entry zone for new capital</t>
  </si>
  <si>
    <t>RATING:  H O L D</t>
  </si>
  <si>
    <t>Not a Buy at current levels; not a Sell for existing holders. See rationale below.</t>
  </si>
  <si>
    <t>SANITY CHECKS PERFORMED</t>
  </si>
  <si>
    <t>1. Historical multiple check</t>
  </si>
  <si>
    <t>COST's current trailing P/E (~45-48x) sits ~16% above its own 10-year average (39.51x) but roughly in line with its 3-year average (51.75x) — i.e., rich vs. long history, not vs. recent trading range.</t>
  </si>
  <si>
    <t>2. Peer comparison check</t>
  </si>
  <si>
    <t>COST trades at a ~2.2x premium to peer median EV/EBITDA (29.6x vs. 13.3x) and ~2.1x premium to peer median forward P/E (43.3x vs. 20.5x) — the largest such gap of the peer set, only partially justified by superior growth/margin/moat characteristics documented in Task 1.</t>
  </si>
  <si>
    <t>3. Implied growth check (reverse DCF)</t>
  </si>
  <si>
    <t>At the current price, holding WACC at 7.9%, the DCF implies a ~6.4% PERPETUAL growth rate — well above typical 2.0-3.0% terminal-growth conventions and above long-run nominal GDP growth. The market is pricing in either much stronger perpetual growth than is conventional to assume, a lower true discount rate than CAPM implies, or simply an extended 'quality premium' that persists beyond any explicit forecast period.</t>
  </si>
  <si>
    <t>4. Market cap reasonableness</t>
  </si>
  <si>
    <t>At ~$397bn, COST is the 3rd-largest pure retailer globally (per Task 1 research) — larger than Target, BJ's, Dollar General and PriceSmart combined by roughly 3x. Scale is real and defensible; the question is entirely about the PRICE paid for that scale, not whether the scale itself is plausible.</t>
  </si>
  <si>
    <t>5. Terminal value check</t>
  </si>
  <si>
    <t>TV represents 80.5% of total DCF Enterprise Value — ABOVE the 60-70% quality-change threshold, flagging that the 5-year explicit period likely understates fair value for a franchise with a multi-decade growth runway (international expansion, membership upsell) — a genuine limitation of the DCF method here, not necessarily proof of overvaluation.</t>
  </si>
  <si>
    <t>6. WACC reasonableness</t>
  </si>
  <si>
    <t>7.86% WACC sits at the low end of the 'mature/stable' 7-10% range cited in standard valuation practice, appropriately reflecting COST's low beta (0.86) and minimal leverage — not an aggressive or punitive discount rate.</t>
  </si>
  <si>
    <t>7. Implied returns check</t>
  </si>
  <si>
    <t>A HOLD rating with a target modestly below current price is internally consistent — this is not a high-conviction Sell call, but a statement that the risk/reward is unattractive for NEW capital at ~$895, while existing holders have a legitimate, differently-reasoned case (moat quality, tax basis, historical persistence of the premium) to stay put.</t>
  </si>
  <si>
    <t>Note: Wall Street sell-side consensus (35 analysts per S&amp;P Global/stockanalysis.com, Sept 2026) is Buy / Moderate Buy with an average target of ~$1,072-1,089 (range $740-$1,315) — meaningfully ABOVE this independent analysis. See Valuation Analysis document for full discussion of this divergence.</t>
  </si>
  <si>
    <t>Costco Wholesale Corporation — Key Catalysts &amp; Risks</t>
  </si>
  <si>
    <t>Task 3: Valuation Analysis | Supporting detail for the price target and HOLD rating</t>
  </si>
  <si>
    <t>KEY INVESTMENT CATALYSTS (upside drivers)</t>
  </si>
  <si>
    <t>#</t>
  </si>
  <si>
    <t>Catalyst</t>
  </si>
  <si>
    <t>Probability</t>
  </si>
  <si>
    <t>Impact</t>
  </si>
  <si>
    <t>Detail</t>
  </si>
  <si>
    <t>Executive membership mix-shift</t>
  </si>
  <si>
    <t>High / Ongoing</t>
  </si>
  <si>
    <t>Medium</t>
  </si>
  <si>
    <t>~Half of individual paid members and growing; each upgrade raises both fee revenue and merchandise spend. Executive members ran ~73.6% of worldwide net sales in FY2025 per company disclosure.</t>
  </si>
  <si>
    <t>China expansion optionality</t>
  </si>
  <si>
    <t>Low-Medium</t>
  </si>
  <si>
    <t>Small (7-warehouse) but closely watched footprint with extraordinary per-store demand; acceleration beyond management's currently cautious pace would support the bull case's higher growth assumptions.</t>
  </si>
  <si>
    <t>Digital/delivery scaling</t>
  </si>
  <si>
    <t>Digitally-enabled comparable sales grew 20.9% in FY2026 vs. 8.4% total company comps; continued outperformance supports margin and traffic without new warehouse capital.</t>
  </si>
  <si>
    <t>Special dividend optionality</t>
  </si>
  <si>
    <t>Analysts have flagged possibility of another special dividend around the Sept 24 earnings release, following the $12/share special dividend paid April 2026. Signals balance-sheet confidence, not a direct valuation driver.</t>
  </si>
  <si>
    <t>Fiscal Q4 2026 earnings beat (Sept 24, 2026)</t>
  </si>
  <si>
    <t>Medium-High</t>
  </si>
  <si>
    <t>Medium (near-term)</t>
  </si>
  <si>
    <t>Costco has matched or beaten EPS estimates in 5 of the last 5 quarters per Task 1 research; a clean beat could support near-term price momentum even without changing underlying valuation math.</t>
  </si>
  <si>
    <t>DOWNSIDE RISKS TO THE PRICE TARGET</t>
  </si>
  <si>
    <t>Multiple compression</t>
  </si>
  <si>
    <t>If the market re-rates toward peer-average or even the 10-year historical average multiple, the stock could fall 20-45% with no change in the underlying business.</t>
  </si>
  <si>
    <t>Sam's Club fee-parity competition</t>
  </si>
  <si>
    <t>Sam's Club's May 2026 fee increase narrows a historical differentiator; continued convergence could pressure Costco's membership-fee growth algorithm.</t>
  </si>
  <si>
    <t>U.S. warehouse saturation</t>
  </si>
  <si>
    <t>Management itself has flagged that square-footage growth will become 'a less substantial component of overall growth' -- a structural deceleration risk, not a hypothetical one.</t>
  </si>
  <si>
    <t>Q4 earnings miss on Sept 24, 2026</t>
  </si>
  <si>
    <t>High (near-term)</t>
  </si>
  <si>
    <t>Oppenheimer's Rupesh Parikh has flagged that consensus EPS may reflect a 'best-case scenario' once tariff refunds are excluded (Task 1 research); a miss at this valuation would likely produce an outsized stock reaction.</t>
  </si>
  <si>
    <t>UPSIDE RISKS (to this cautious HOLD call)</t>
  </si>
  <si>
    <t>'Quality compounder never mean-reverts'</t>
  </si>
  <si>
    <t>Costco's multiple has structurally re-rated higher over the past decade (3-yr avg 51.75x vs. 10-yr avg 39.51x); if this is the new normal rather than a temporary premium, the historical-multiple method (already the highest-weighted here) would prove more prescient than DCF/comps.</t>
  </si>
  <si>
    <t>China acceleration</t>
  </si>
  <si>
    <t>A decision to scale China rollout materially faster than the current cautious pace could justify a higher terminal growth assumption than this DCF uses.</t>
  </si>
  <si>
    <t>Sustained beat-and-raise execution</t>
  </si>
  <si>
    <t>Continued comp-sales and membership growth above consensus, quarter after quarter, would validate the market's current growth assumptions rather than this report's more conservative 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</si>
</sst>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0.0%;\(0.0%\);\-"/>
    <numFmt numFmtId="166" formatCode="\$#,##0.00"/>
    <numFmt numFmtId="167" formatCode="0.00\x"/>
    <numFmt numFmtId="168" formatCode="#,##0.00;\(#,##0.00\);\-"/>
    <numFmt numFmtId="169" formatCode="0.0000"/>
    <numFmt numFmtId="170" formatCode="#,##0.0;\(#,##0.0\);\-"/>
    <numFmt numFmtId="171" formatCode="\$#,##0.00;&quot;($&quot;#,##0.00\);\-"/>
    <numFmt numFmtId="172" formatCode="\$#,##0;&quot;($&quot;#,##0\);\-"/>
  </numFmts>
  <fonts count="2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1F4E78"/>
      <name val="Arial"/>
      <charset val="1"/>
    </font>
    <font>
      <b/>
      <sz val="16"/>
      <color rgb="FF1F4E78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i/>
      <sz val="9"/>
      <name val="Arial"/>
      <charset val="1"/>
    </font>
    <font>
      <b/>
      <sz val="10"/>
      <color rgb="FF1F4E7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rgb="FF595959"/>
      <name val="Arial"/>
      <family val="2"/>
    </font>
    <font>
      <i/>
      <sz val="9"/>
      <color theme="1" tint="0.1499984740745262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10"/>
      <color theme="1" tint="0.14999847407452621"/>
      <name val="Arial"/>
      <family val="2"/>
    </font>
    <font>
      <sz val="10"/>
      <color rgb="FF00800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8" fillId="2" borderId="0" xfId="0" applyFont="1" applyFill="1"/>
    <xf numFmtId="0" fontId="8" fillId="7" borderId="0" xfId="0" applyFont="1" applyFill="1"/>
    <xf numFmtId="0" fontId="15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5" fillId="0" borderId="1" xfId="0" applyFont="1" applyBorder="1"/>
    <xf numFmtId="0" fontId="7" fillId="0" borderId="1" xfId="0" applyFont="1" applyBorder="1"/>
    <xf numFmtId="0" fontId="8" fillId="0" borderId="0" xfId="0" applyFont="1"/>
    <xf numFmtId="0" fontId="9" fillId="4" borderId="1" xfId="0" applyFont="1" applyFill="1" applyBorder="1"/>
    <xf numFmtId="0" fontId="5" fillId="3" borderId="2" xfId="0" applyFont="1" applyFill="1" applyBorder="1"/>
    <xf numFmtId="0" fontId="5" fillId="0" borderId="0" xfId="0" applyFont="1"/>
    <xf numFmtId="0" fontId="9" fillId="4" borderId="1" xfId="0" applyFont="1" applyFill="1" applyBorder="1" applyAlignment="1">
      <alignment horizontal="center"/>
    </xf>
    <xf numFmtId="0" fontId="10" fillId="0" borderId="0" xfId="0" applyFont="1"/>
    <xf numFmtId="164" fontId="11" fillId="0" borderId="1" xfId="0" applyNumberFormat="1" applyFont="1" applyBorder="1"/>
    <xf numFmtId="164" fontId="10" fillId="0" borderId="1" xfId="0" applyNumberFormat="1" applyFont="1" applyBorder="1"/>
    <xf numFmtId="165" fontId="10" fillId="0" borderId="1" xfId="0" applyNumberFormat="1" applyFont="1" applyBorder="1"/>
    <xf numFmtId="165" fontId="12" fillId="0" borderId="1" xfId="0" applyNumberFormat="1" applyFont="1" applyBorder="1"/>
    <xf numFmtId="164" fontId="12" fillId="0" borderId="1" xfId="0" applyNumberFormat="1" applyFont="1" applyBorder="1"/>
    <xf numFmtId="164" fontId="5" fillId="6" borderId="3" xfId="0" applyNumberFormat="1" applyFont="1" applyFill="1" applyBorder="1"/>
    <xf numFmtId="164" fontId="14" fillId="0" borderId="1" xfId="0" applyNumberFormat="1" applyFont="1" applyBorder="1"/>
    <xf numFmtId="164" fontId="5" fillId="0" borderId="1" xfId="0" applyNumberFormat="1" applyFont="1" applyBorder="1"/>
    <xf numFmtId="165" fontId="5" fillId="6" borderId="1" xfId="0" applyNumberFormat="1" applyFont="1" applyFill="1" applyBorder="1"/>
    <xf numFmtId="172" fontId="10" fillId="0" borderId="1" xfId="0" applyNumberFormat="1" applyFont="1" applyBorder="1"/>
    <xf numFmtId="0" fontId="9" fillId="4" borderId="1" xfId="0" applyFont="1" applyFill="1" applyBorder="1" applyAlignment="1">
      <alignment horizontal="center" wrapText="1"/>
    </xf>
    <xf numFmtId="171" fontId="14" fillId="0" borderId="1" xfId="0" applyNumberFormat="1" applyFont="1" applyBorder="1"/>
    <xf numFmtId="172" fontId="14" fillId="0" borderId="1" xfId="0" applyNumberFormat="1" applyFont="1" applyBorder="1"/>
    <xf numFmtId="167" fontId="12" fillId="0" borderId="1" xfId="0" applyNumberFormat="1" applyFont="1" applyBorder="1"/>
    <xf numFmtId="165" fontId="5" fillId="0" borderId="2" xfId="0" applyNumberFormat="1" applyFont="1" applyBorder="1"/>
    <xf numFmtId="172" fontId="5" fillId="3" borderId="3" xfId="0" applyNumberFormat="1" applyFont="1" applyFill="1" applyBorder="1"/>
    <xf numFmtId="172" fontId="5" fillId="3" borderId="1" xfId="0" applyNumberFormat="1" applyFont="1" applyFill="1" applyBorder="1"/>
    <xf numFmtId="165" fontId="5" fillId="0" borderId="1" xfId="0" applyNumberFormat="1" applyFont="1" applyBorder="1"/>
    <xf numFmtId="0" fontId="12" fillId="0" borderId="1" xfId="0" applyFont="1" applyBorder="1"/>
    <xf numFmtId="0" fontId="4" fillId="2" borderId="0" xfId="0" applyFont="1" applyFill="1"/>
    <xf numFmtId="0" fontId="0" fillId="2" borderId="0" xfId="0" applyFill="1"/>
    <xf numFmtId="0" fontId="5" fillId="7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vertical="top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3" fillId="0" borderId="0" xfId="0" applyFont="1" applyAlignment="1">
      <alignment vertical="top" wrapText="1"/>
    </xf>
    <xf numFmtId="0" fontId="20" fillId="0" borderId="0" xfId="0" applyFont="1"/>
    <xf numFmtId="0" fontId="13" fillId="0" borderId="0" xfId="0" applyFont="1" applyAlignment="1">
      <alignment vertical="top" wrapText="1"/>
    </xf>
    <xf numFmtId="0" fontId="21" fillId="0" borderId="0" xfId="0" applyFont="1"/>
    <xf numFmtId="164" fontId="22" fillId="0" borderId="1" xfId="0" applyNumberFormat="1" applyFont="1" applyBorder="1"/>
    <xf numFmtId="164" fontId="21" fillId="0" borderId="1" xfId="0" applyNumberFormat="1" applyFont="1" applyBorder="1"/>
    <xf numFmtId="165" fontId="21" fillId="0" borderId="1" xfId="0" applyNumberFormat="1" applyFont="1" applyBorder="1"/>
    <xf numFmtId="165" fontId="23" fillId="0" borderId="1" xfId="0" applyNumberFormat="1" applyFont="1" applyBorder="1"/>
    <xf numFmtId="164" fontId="17" fillId="6" borderId="2" xfId="0" applyNumberFormat="1" applyFont="1" applyFill="1" applyBorder="1"/>
    <xf numFmtId="164" fontId="23" fillId="0" borderId="1" xfId="0" applyNumberFormat="1" applyFont="1" applyBorder="1"/>
    <xf numFmtId="164" fontId="17" fillId="6" borderId="3" xfId="0" applyNumberFormat="1" applyFont="1" applyFill="1" applyBorder="1"/>
    <xf numFmtId="0" fontId="18" fillId="5" borderId="0" xfId="0" applyFont="1" applyFill="1"/>
    <xf numFmtId="0" fontId="24" fillId="4" borderId="1" xfId="0" applyFont="1" applyFill="1" applyBorder="1" applyAlignment="1">
      <alignment horizontal="center"/>
    </xf>
    <xf numFmtId="0" fontId="25" fillId="0" borderId="0" xfId="0" applyFont="1"/>
    <xf numFmtId="0" fontId="20" fillId="0" borderId="0" xfId="0" applyFont="1"/>
    <xf numFmtId="164" fontId="26" fillId="0" borderId="1" xfId="0" applyNumberFormat="1" applyFont="1" applyBorder="1"/>
    <xf numFmtId="164" fontId="17" fillId="0" borderId="2" xfId="0" applyNumberFormat="1" applyFont="1" applyBorder="1"/>
    <xf numFmtId="166" fontId="17" fillId="0" borderId="1" xfId="0" applyNumberFormat="1" applyFont="1" applyBorder="1"/>
    <xf numFmtId="164" fontId="23" fillId="6" borderId="2" xfId="0" applyNumberFormat="1" applyFont="1" applyFill="1" applyBorder="1"/>
    <xf numFmtId="164" fontId="17" fillId="0" borderId="3" xfId="0" applyNumberFormat="1" applyFont="1" applyBorder="1"/>
    <xf numFmtId="164" fontId="17" fillId="0" borderId="1" xfId="0" applyNumberFormat="1" applyFont="1" applyBorder="1"/>
    <xf numFmtId="167" fontId="21" fillId="0" borderId="1" xfId="0" applyNumberFormat="1" applyFont="1" applyBorder="1"/>
    <xf numFmtId="164" fontId="17" fillId="6" borderId="1" xfId="0" applyNumberFormat="1" applyFont="1" applyFill="1" applyBorder="1"/>
    <xf numFmtId="168" fontId="21" fillId="0" borderId="1" xfId="0" applyNumberFormat="1" applyFont="1" applyBorder="1"/>
    <xf numFmtId="166" fontId="17" fillId="6" borderId="1" xfId="0" applyNumberFormat="1" applyFont="1" applyFill="1" applyBorder="1"/>
    <xf numFmtId="0" fontId="27" fillId="0" borderId="0" xfId="0" applyFont="1" applyAlignment="1">
      <alignment wrapText="1"/>
    </xf>
    <xf numFmtId="1" fontId="22" fillId="0" borderId="1" xfId="0" applyNumberFormat="1" applyFont="1" applyBorder="1"/>
    <xf numFmtId="165" fontId="26" fillId="0" borderId="1" xfId="0" applyNumberFormat="1" applyFont="1" applyBorder="1"/>
    <xf numFmtId="169" fontId="21" fillId="0" borderId="1" xfId="0" applyNumberFormat="1" applyFont="1" applyBorder="1"/>
    <xf numFmtId="165" fontId="21" fillId="0" borderId="0" xfId="0" applyNumberFormat="1" applyFont="1"/>
    <xf numFmtId="170" fontId="23" fillId="0" borderId="1" xfId="0" applyNumberFormat="1" applyFont="1" applyBorder="1"/>
    <xf numFmtId="171" fontId="17" fillId="6" borderId="3" xfId="0" applyNumberFormat="1" applyFont="1" applyFill="1" applyBorder="1"/>
    <xf numFmtId="171" fontId="23" fillId="0" borderId="1" xfId="0" applyNumberFormat="1" applyFont="1" applyBorder="1"/>
    <xf numFmtId="0" fontId="19" fillId="0" borderId="0" xfId="0" applyFont="1" applyAlignment="1">
      <alignment wrapText="1"/>
    </xf>
    <xf numFmtId="172" fontId="21" fillId="0" borderId="1" xfId="0" applyNumberFormat="1" applyFont="1" applyBorder="1"/>
    <xf numFmtId="165" fontId="24" fillId="4" borderId="1" xfId="0" applyNumberFormat="1" applyFont="1" applyFill="1" applyBorder="1" applyAlignment="1">
      <alignment horizontal="center"/>
    </xf>
    <xf numFmtId="0" fontId="21" fillId="0" borderId="1" xfId="0" applyFont="1" applyBorder="1"/>
    <xf numFmtId="172" fontId="22" fillId="0" borderId="1" xfId="0" applyNumberFormat="1" applyFont="1" applyBorder="1"/>
    <xf numFmtId="167" fontId="22" fillId="0" borderId="1" xfId="0" applyNumberFormat="1" applyFont="1" applyBorder="1"/>
    <xf numFmtId="165" fontId="22" fillId="0" borderId="1" xfId="0" applyNumberFormat="1" applyFont="1" applyBorder="1"/>
    <xf numFmtId="2" fontId="22" fillId="0" borderId="1" xfId="0" applyNumberFormat="1" applyFont="1" applyBorder="1"/>
    <xf numFmtId="0" fontId="17" fillId="0" borderId="1" xfId="0" applyFont="1" applyBorder="1"/>
    <xf numFmtId="172" fontId="23" fillId="3" borderId="1" xfId="0" applyNumberFormat="1" applyFont="1" applyFill="1" applyBorder="1"/>
    <xf numFmtId="167" fontId="23" fillId="3" borderId="1" xfId="0" applyNumberFormat="1" applyFont="1" applyFill="1" applyBorder="1"/>
    <xf numFmtId="165" fontId="23" fillId="3" borderId="1" xfId="0" applyNumberFormat="1" applyFont="1" applyFill="1" applyBorder="1"/>
    <xf numFmtId="2" fontId="23" fillId="3" borderId="1" xfId="0" applyNumberFormat="1" applyFont="1" applyFill="1" applyBorder="1"/>
    <xf numFmtId="2" fontId="21" fillId="0" borderId="1" xfId="0" applyNumberFormat="1" applyFont="1" applyBorder="1"/>
    <xf numFmtId="171" fontId="26" fillId="0" borderId="1" xfId="0" applyNumberFormat="1" applyFont="1" applyBorder="1"/>
    <xf numFmtId="167" fontId="26" fillId="0" borderId="1" xfId="0" applyNumberFormat="1" applyFont="1" applyBorder="1"/>
    <xf numFmtId="172" fontId="17" fillId="6" borderId="1" xfId="0" applyNumberFormat="1" applyFont="1" applyFill="1" applyBorder="1"/>
    <xf numFmtId="172" fontId="17" fillId="3" borderId="2" xfId="0" applyNumberFormat="1" applyFont="1" applyFill="1" applyBorder="1"/>
    <xf numFmtId="0" fontId="24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zoomScaleNormal="100" workbookViewId="0">
      <selection activeCell="A8" sqref="A8"/>
    </sheetView>
  </sheetViews>
  <sheetFormatPr defaultColWidth="8.6328125" defaultRowHeight="12.5" x14ac:dyDescent="0.25"/>
  <cols>
    <col min="1" max="1" width="100" style="51" customWidth="1"/>
    <col min="2" max="16384" width="8.6328125" style="51"/>
  </cols>
  <sheetData>
    <row r="1" spans="1:1" ht="17.25" customHeight="1" x14ac:dyDescent="0.3">
      <c r="A1" s="50" t="s">
        <v>0</v>
      </c>
    </row>
    <row r="2" spans="1:1" ht="15" customHeight="1" x14ac:dyDescent="0.3">
      <c r="A2" s="52" t="s">
        <v>1</v>
      </c>
    </row>
    <row r="4" spans="1:1" ht="15" customHeight="1" x14ac:dyDescent="0.3">
      <c r="A4" s="49" t="s">
        <v>2</v>
      </c>
    </row>
    <row r="5" spans="1:1" ht="27.75" customHeight="1" x14ac:dyDescent="0.25">
      <c r="A5" s="53" t="s">
        <v>3</v>
      </c>
    </row>
    <row r="6" spans="1:1" ht="27.75" customHeight="1" x14ac:dyDescent="0.25">
      <c r="A6" s="53" t="s">
        <v>4</v>
      </c>
    </row>
    <row r="7" spans="1:1" ht="27.75" customHeight="1" x14ac:dyDescent="0.25">
      <c r="A7" s="53" t="s">
        <v>5</v>
      </c>
    </row>
    <row r="9" spans="1:1" ht="15" customHeight="1" x14ac:dyDescent="0.3">
      <c r="A9" s="49" t="s">
        <v>6</v>
      </c>
    </row>
    <row r="10" spans="1:1" ht="27.75" customHeight="1" x14ac:dyDescent="0.25">
      <c r="A10" s="53" t="s">
        <v>7</v>
      </c>
    </row>
    <row r="11" spans="1:1" ht="27.75" customHeight="1" x14ac:dyDescent="0.25">
      <c r="A11" s="53" t="s">
        <v>8</v>
      </c>
    </row>
    <row r="12" spans="1:1" ht="27.75" customHeight="1" x14ac:dyDescent="0.25">
      <c r="A12" s="53" t="s">
        <v>9</v>
      </c>
    </row>
    <row r="14" spans="1:1" ht="15" customHeight="1" x14ac:dyDescent="0.3">
      <c r="A14" s="49" t="s">
        <v>10</v>
      </c>
    </row>
    <row r="15" spans="1:1" ht="27.75" customHeight="1" x14ac:dyDescent="0.25">
      <c r="A15" s="53" t="s">
        <v>11</v>
      </c>
    </row>
    <row r="16" spans="1:1" ht="27.75" customHeight="1" x14ac:dyDescent="0.25">
      <c r="A16" s="53" t="s">
        <v>12</v>
      </c>
    </row>
    <row r="17" spans="1:1" ht="27.75" customHeight="1" x14ac:dyDescent="0.25">
      <c r="A17" s="53" t="s">
        <v>13</v>
      </c>
    </row>
    <row r="18" spans="1:1" ht="27.75" customHeight="1" x14ac:dyDescent="0.25">
      <c r="A18" s="53" t="s">
        <v>14</v>
      </c>
    </row>
    <row r="19" spans="1:1" ht="27.75" customHeight="1" x14ac:dyDescent="0.25">
      <c r="A19" s="53" t="s">
        <v>15</v>
      </c>
    </row>
    <row r="20" spans="1:1" ht="27.75" customHeight="1" x14ac:dyDescent="0.25">
      <c r="A20" s="53" t="s">
        <v>16</v>
      </c>
    </row>
    <row r="21" spans="1:1" ht="27.75" customHeight="1" x14ac:dyDescent="0.25">
      <c r="A21" s="53" t="s">
        <v>17</v>
      </c>
    </row>
    <row r="22" spans="1:1" ht="27.75" customHeight="1" x14ac:dyDescent="0.25">
      <c r="A22" s="53" t="s">
        <v>18</v>
      </c>
    </row>
    <row r="23" spans="1:1" ht="27.75" customHeight="1" x14ac:dyDescent="0.25">
      <c r="A23" s="53" t="s">
        <v>19</v>
      </c>
    </row>
    <row r="24" spans="1:1" ht="27.75" customHeight="1" x14ac:dyDescent="0.25">
      <c r="A24" s="53" t="s">
        <v>20</v>
      </c>
    </row>
    <row r="25" spans="1:1" ht="27.75" customHeight="1" x14ac:dyDescent="0.25">
      <c r="A25" s="53" t="s">
        <v>21</v>
      </c>
    </row>
    <row r="26" spans="1:1" ht="27.75" customHeight="1" x14ac:dyDescent="0.25">
      <c r="A26" s="53" t="s">
        <v>22</v>
      </c>
    </row>
    <row r="27" spans="1:1" ht="27.75" customHeight="1" x14ac:dyDescent="0.25">
      <c r="A27" s="53" t="s">
        <v>23</v>
      </c>
    </row>
    <row r="28" spans="1:1" ht="27.75" customHeight="1" x14ac:dyDescent="0.25">
      <c r="A28" s="53" t="s">
        <v>24</v>
      </c>
    </row>
    <row r="30" spans="1:1" ht="15" customHeight="1" x14ac:dyDescent="0.3">
      <c r="A30" s="49" t="s">
        <v>25</v>
      </c>
    </row>
    <row r="31" spans="1:1" ht="27.75" customHeight="1" x14ac:dyDescent="0.25">
      <c r="A31" s="53" t="s">
        <v>26</v>
      </c>
    </row>
    <row r="32" spans="1:1" ht="27.75" customHeight="1" x14ac:dyDescent="0.25">
      <c r="A32" s="53" t="s">
        <v>27</v>
      </c>
    </row>
    <row r="33" spans="1:1" ht="27.75" customHeight="1" x14ac:dyDescent="0.25">
      <c r="A33" s="53" t="s">
        <v>28</v>
      </c>
    </row>
    <row r="34" spans="1:1" ht="27.75" customHeight="1" x14ac:dyDescent="0.25">
      <c r="A34" s="53" t="s">
        <v>29</v>
      </c>
    </row>
    <row r="35" spans="1:1" ht="27.75" customHeight="1" x14ac:dyDescent="0.25">
      <c r="A35" s="5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6"/>
  <sheetViews>
    <sheetView showGridLines="0" topLeftCell="A24" zoomScaleNormal="100" workbookViewId="0">
      <selection activeCell="A28" sqref="A28:XFD28"/>
    </sheetView>
  </sheetViews>
  <sheetFormatPr defaultColWidth="8.6328125" defaultRowHeight="14.5" x14ac:dyDescent="0.35"/>
  <cols>
    <col min="1" max="1" width="3" customWidth="1"/>
    <col min="2" max="2" width="26" customWidth="1"/>
    <col min="3" max="3" width="90" customWidth="1"/>
  </cols>
  <sheetData>
    <row r="1" spans="2:3" ht="20" x14ac:dyDescent="0.4">
      <c r="B1" s="7" t="s">
        <v>31</v>
      </c>
      <c r="C1" s="7"/>
    </row>
    <row r="2" spans="2:3" x14ac:dyDescent="0.35">
      <c r="B2" s="54" t="s">
        <v>32</v>
      </c>
      <c r="C2" s="54"/>
    </row>
    <row r="4" spans="2:3" ht="16.5" x14ac:dyDescent="0.35">
      <c r="B4" s="11" t="s">
        <v>33</v>
      </c>
      <c r="C4" s="12" t="s">
        <v>34</v>
      </c>
    </row>
    <row r="5" spans="2:3" ht="16.5" x14ac:dyDescent="0.35">
      <c r="B5" s="13" t="s">
        <v>35</v>
      </c>
      <c r="C5" s="14" t="s">
        <v>36</v>
      </c>
    </row>
    <row r="6" spans="2:3" x14ac:dyDescent="0.35">
      <c r="B6" s="15" t="s">
        <v>37</v>
      </c>
      <c r="C6" s="16" t="s">
        <v>38</v>
      </c>
    </row>
    <row r="7" spans="2:3" x14ac:dyDescent="0.35">
      <c r="B7" s="15" t="s">
        <v>39</v>
      </c>
      <c r="C7" s="16" t="s">
        <v>40</v>
      </c>
    </row>
    <row r="8" spans="2:3" x14ac:dyDescent="0.35">
      <c r="B8" s="15" t="s">
        <v>41</v>
      </c>
      <c r="C8" s="16" t="s">
        <v>42</v>
      </c>
    </row>
    <row r="9" spans="2:3" x14ac:dyDescent="0.35">
      <c r="B9" s="15" t="s">
        <v>43</v>
      </c>
      <c r="C9" s="16" t="s">
        <v>44</v>
      </c>
    </row>
    <row r="11" spans="2:3" x14ac:dyDescent="0.35">
      <c r="B11" s="17" t="s">
        <v>45</v>
      </c>
    </row>
    <row r="12" spans="2:3" ht="106" customHeight="1" x14ac:dyDescent="0.35">
      <c r="B12" s="5" t="s">
        <v>46</v>
      </c>
      <c r="C12" s="5"/>
    </row>
    <row r="14" spans="2:3" x14ac:dyDescent="0.35">
      <c r="B14" s="17" t="s">
        <v>47</v>
      </c>
    </row>
    <row r="15" spans="2:3" x14ac:dyDescent="0.35">
      <c r="B15" s="18" t="s">
        <v>48</v>
      </c>
      <c r="C15" s="18" t="s">
        <v>49</v>
      </c>
    </row>
    <row r="16" spans="2:3" x14ac:dyDescent="0.35">
      <c r="B16" s="16" t="s">
        <v>50</v>
      </c>
      <c r="C16" s="16" t="s">
        <v>51</v>
      </c>
    </row>
    <row r="17" spans="2:3" x14ac:dyDescent="0.35">
      <c r="B17" s="16" t="s">
        <v>52</v>
      </c>
      <c r="C17" s="16" t="s">
        <v>53</v>
      </c>
    </row>
    <row r="18" spans="2:3" x14ac:dyDescent="0.35">
      <c r="B18" s="16" t="s">
        <v>54</v>
      </c>
      <c r="C18" s="16" t="s">
        <v>55</v>
      </c>
    </row>
    <row r="19" spans="2:3" x14ac:dyDescent="0.35">
      <c r="B19" s="16" t="s">
        <v>56</v>
      </c>
      <c r="C19" s="16" t="s">
        <v>57</v>
      </c>
    </row>
    <row r="20" spans="2:3" x14ac:dyDescent="0.35">
      <c r="B20" s="19" t="s">
        <v>58</v>
      </c>
      <c r="C20" s="19" t="s">
        <v>59</v>
      </c>
    </row>
    <row r="22" spans="2:3" x14ac:dyDescent="0.35">
      <c r="B22" s="17" t="s">
        <v>60</v>
      </c>
    </row>
    <row r="23" spans="2:3" ht="65.5" customHeight="1" x14ac:dyDescent="0.35">
      <c r="B23" s="5" t="s">
        <v>61</v>
      </c>
      <c r="C23" s="5"/>
    </row>
    <row r="25" spans="2:3" x14ac:dyDescent="0.35">
      <c r="B25" s="17" t="s">
        <v>62</v>
      </c>
    </row>
    <row r="26" spans="2:3" ht="52" customHeight="1" x14ac:dyDescent="0.35">
      <c r="B26" s="55" t="s">
        <v>63</v>
      </c>
      <c r="C26" s="5"/>
    </row>
  </sheetData>
  <mergeCells count="5">
    <mergeCell ref="B1:C1"/>
    <mergeCell ref="B2:C2"/>
    <mergeCell ref="B12:C12"/>
    <mergeCell ref="B23:C23"/>
    <mergeCell ref="B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zoomScaleNormal="10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C11" sqref="C11"/>
    </sheetView>
  </sheetViews>
  <sheetFormatPr defaultColWidth="8.6328125" defaultRowHeight="12.5" x14ac:dyDescent="0.25"/>
  <cols>
    <col min="1" max="1" width="52" style="51" customWidth="1"/>
    <col min="2" max="11" width="12" style="51" customWidth="1"/>
    <col min="12" max="16384" width="8.6328125" style="51"/>
  </cols>
  <sheetData>
    <row r="1" spans="1:11" ht="17.25" customHeight="1" x14ac:dyDescent="0.3">
      <c r="A1" s="50" t="s">
        <v>64</v>
      </c>
    </row>
    <row r="2" spans="1:11" ht="15" customHeight="1" x14ac:dyDescent="0.3">
      <c r="A2" s="66" t="s">
        <v>65</v>
      </c>
    </row>
    <row r="3" spans="1:11" ht="15" customHeight="1" x14ac:dyDescent="0.3">
      <c r="A3" s="66" t="s">
        <v>66</v>
      </c>
    </row>
    <row r="5" spans="1:11" ht="15" customHeight="1" x14ac:dyDescent="0.3">
      <c r="A5" s="49" t="s">
        <v>67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 customHeight="1" x14ac:dyDescent="0.3">
      <c r="A6" s="50" t="s">
        <v>68</v>
      </c>
      <c r="B6" s="65" t="s">
        <v>69</v>
      </c>
      <c r="C6" s="65" t="s">
        <v>70</v>
      </c>
      <c r="D6" s="65" t="s">
        <v>71</v>
      </c>
      <c r="E6" s="65" t="s">
        <v>72</v>
      </c>
      <c r="F6" s="65" t="s">
        <v>73</v>
      </c>
      <c r="G6" s="65" t="s">
        <v>74</v>
      </c>
      <c r="H6" s="65" t="s">
        <v>75</v>
      </c>
      <c r="I6" s="65" t="s">
        <v>76</v>
      </c>
      <c r="J6" s="65" t="s">
        <v>77</v>
      </c>
      <c r="K6" s="65" t="s">
        <v>78</v>
      </c>
    </row>
    <row r="7" spans="1:11" ht="15" customHeight="1" x14ac:dyDescent="0.25">
      <c r="A7" s="56" t="s">
        <v>79</v>
      </c>
      <c r="B7" s="57">
        <v>77277</v>
      </c>
      <c r="C7" s="57">
        <v>85629</v>
      </c>
      <c r="D7" s="57">
        <v>96175</v>
      </c>
      <c r="E7" s="57">
        <v>101463</v>
      </c>
      <c r="F7" s="57">
        <v>109564</v>
      </c>
      <c r="G7" s="58">
        <f>F7*(1+G8)</f>
        <v>120682.55472</v>
      </c>
      <c r="H7" s="58">
        <f>G7*(1+H8)</f>
        <v>129130.33355040001</v>
      </c>
      <c r="I7" s="58">
        <f>H7*(1+I8)</f>
        <v>137523.805231176</v>
      </c>
      <c r="J7" s="58">
        <f>I7*(1+J8)</f>
        <v>146462.85257120244</v>
      </c>
      <c r="K7" s="58">
        <f>J7*(1+K8)</f>
        <v>155250.62372547461</v>
      </c>
    </row>
    <row r="8" spans="1:11" ht="15" customHeight="1" x14ac:dyDescent="0.3">
      <c r="A8" s="56" t="s">
        <v>80</v>
      </c>
      <c r="C8" s="59">
        <f>C7/B7-1</f>
        <v>0.10807872976435418</v>
      </c>
      <c r="D8" s="59">
        <f>D7/C7-1</f>
        <v>0.12315921008069686</v>
      </c>
      <c r="E8" s="59">
        <f>E7/D7-1</f>
        <v>5.498310371718218E-2</v>
      </c>
      <c r="F8" s="59">
        <f>F7/E7-1</f>
        <v>7.9841912815509009E-2</v>
      </c>
      <c r="G8" s="60">
        <v>0.10148</v>
      </c>
      <c r="H8" s="60">
        <v>7.0000000000000007E-2</v>
      </c>
      <c r="I8" s="60">
        <v>6.5000000000000002E-2</v>
      </c>
      <c r="J8" s="60">
        <v>6.5000000000000002E-2</v>
      </c>
      <c r="K8" s="60">
        <v>0.06</v>
      </c>
    </row>
    <row r="10" spans="1:11" ht="15" customHeight="1" x14ac:dyDescent="0.25">
      <c r="A10" s="56" t="s">
        <v>81</v>
      </c>
      <c r="B10" s="57">
        <v>55966</v>
      </c>
      <c r="C10" s="57">
        <v>61100</v>
      </c>
      <c r="D10" s="57">
        <v>60865</v>
      </c>
      <c r="E10" s="57">
        <v>63973</v>
      </c>
      <c r="F10" s="57">
        <v>71190</v>
      </c>
      <c r="G10" s="58">
        <f>F10*(1+G11)</f>
        <v>78414.361199999999</v>
      </c>
      <c r="H10" s="58">
        <f>G10*(1+H11)</f>
        <v>83119.222871999998</v>
      </c>
      <c r="I10" s="58">
        <f>H10*(1+I11)</f>
        <v>87690.780129959996</v>
      </c>
      <c r="J10" s="58">
        <f>I10*(1+J11)</f>
        <v>92513.773037107792</v>
      </c>
      <c r="K10" s="58">
        <f>J10*(1+K11)</f>
        <v>97139.461688963187</v>
      </c>
    </row>
    <row r="11" spans="1:11" ht="15" customHeight="1" x14ac:dyDescent="0.3">
      <c r="A11" s="56" t="s">
        <v>80</v>
      </c>
      <c r="C11" s="59">
        <f>C10/B10-1</f>
        <v>9.1734267233677613E-2</v>
      </c>
      <c r="D11" s="59">
        <f>D10/C10-1</f>
        <v>-3.8461538461538325E-3</v>
      </c>
      <c r="E11" s="59">
        <f>E10/D10-1</f>
        <v>5.1063829787234116E-2</v>
      </c>
      <c r="F11" s="59">
        <f>F10/E10-1</f>
        <v>0.1128132180763759</v>
      </c>
      <c r="G11" s="60">
        <v>0.10148</v>
      </c>
      <c r="H11" s="60">
        <v>0.06</v>
      </c>
      <c r="I11" s="60">
        <v>5.5E-2</v>
      </c>
      <c r="J11" s="60">
        <v>5.5E-2</v>
      </c>
      <c r="K11" s="60">
        <v>0.05</v>
      </c>
    </row>
    <row r="13" spans="1:11" ht="15" customHeight="1" x14ac:dyDescent="0.25">
      <c r="A13" s="56" t="s">
        <v>82</v>
      </c>
      <c r="B13" s="57">
        <v>27183</v>
      </c>
      <c r="C13" s="57">
        <v>29527</v>
      </c>
      <c r="D13" s="57">
        <v>31977</v>
      </c>
      <c r="E13" s="57">
        <v>34220</v>
      </c>
      <c r="F13" s="57">
        <v>37988</v>
      </c>
      <c r="G13" s="58">
        <f>F13*(1+G14)</f>
        <v>41843.022239999998</v>
      </c>
      <c r="H13" s="58">
        <f>G13*(1+H14)</f>
        <v>44981.248907999994</v>
      </c>
      <c r="I13" s="58">
        <f>H13*(1+I14)</f>
        <v>48129.936331559999</v>
      </c>
      <c r="J13" s="58">
        <f>I13*(1+J14)</f>
        <v>51499.0318747692</v>
      </c>
      <c r="K13" s="58">
        <f>J13*(1+K14)</f>
        <v>54846.468946629197</v>
      </c>
    </row>
    <row r="14" spans="1:11" ht="15" customHeight="1" x14ac:dyDescent="0.3">
      <c r="A14" s="56" t="s">
        <v>80</v>
      </c>
      <c r="C14" s="59">
        <f>C13/B13-1</f>
        <v>8.6230364566089124E-2</v>
      </c>
      <c r="D14" s="59">
        <f>D13/C13-1</f>
        <v>8.2974904324855325E-2</v>
      </c>
      <c r="E14" s="59">
        <f>E13/D13-1</f>
        <v>7.0144166119398221E-2</v>
      </c>
      <c r="F14" s="59">
        <f>F13/E13-1</f>
        <v>0.11011104617182932</v>
      </c>
      <c r="G14" s="60">
        <v>0.10148</v>
      </c>
      <c r="H14" s="60">
        <v>7.4999999999999997E-2</v>
      </c>
      <c r="I14" s="60">
        <v>7.0000000000000007E-2</v>
      </c>
      <c r="J14" s="60">
        <v>7.0000000000000007E-2</v>
      </c>
      <c r="K14" s="60">
        <v>6.5000000000000002E-2</v>
      </c>
    </row>
    <row r="16" spans="1:11" ht="15" customHeight="1" x14ac:dyDescent="0.25">
      <c r="A16" s="56" t="s">
        <v>83</v>
      </c>
      <c r="B16" s="57">
        <v>31626</v>
      </c>
      <c r="C16" s="57">
        <v>46474</v>
      </c>
      <c r="D16" s="57">
        <v>48693</v>
      </c>
      <c r="E16" s="57">
        <v>49969</v>
      </c>
      <c r="F16" s="57">
        <v>51170</v>
      </c>
      <c r="G16" s="58">
        <f>F16*(1+G17)</f>
        <v>56362.731599999999</v>
      </c>
      <c r="H16" s="58">
        <f>G16*(1+H17)</f>
        <v>59180.868180000005</v>
      </c>
      <c r="I16" s="58">
        <f>H16*(1+I17)</f>
        <v>62139.91158900001</v>
      </c>
      <c r="J16" s="58">
        <f>I16*(1+J17)</f>
        <v>64936.207610505007</v>
      </c>
      <c r="K16" s="58">
        <f>J16*(1+K17)</f>
        <v>67858.336952977726</v>
      </c>
    </row>
    <row r="17" spans="1:11" ht="15" customHeight="1" x14ac:dyDescent="0.3">
      <c r="A17" s="56" t="s">
        <v>80</v>
      </c>
      <c r="C17" s="59">
        <f>C16/B16-1</f>
        <v>0.46948713084171256</v>
      </c>
      <c r="D17" s="59">
        <f>D16/C16-1</f>
        <v>4.7747127426087665E-2</v>
      </c>
      <c r="E17" s="59">
        <f>E16/D16-1</f>
        <v>2.6204998665105839E-2</v>
      </c>
      <c r="F17" s="59">
        <f>F16/E16-1</f>
        <v>2.4034901639016226E-2</v>
      </c>
      <c r="G17" s="60">
        <v>0.10148</v>
      </c>
      <c r="H17" s="60">
        <v>0.05</v>
      </c>
      <c r="I17" s="60">
        <v>0.05</v>
      </c>
      <c r="J17" s="60">
        <v>4.4999999999999998E-2</v>
      </c>
      <c r="K17" s="60">
        <v>4.4999999999999998E-2</v>
      </c>
    </row>
    <row r="20" spans="1:11" ht="15" customHeight="1" x14ac:dyDescent="0.3">
      <c r="A20" s="50" t="s">
        <v>84</v>
      </c>
      <c r="B20" s="61">
        <f t="shared" ref="B20:K20" si="0">SUM(B7,B10,B13,B16)</f>
        <v>192052</v>
      </c>
      <c r="C20" s="61">
        <f t="shared" si="0"/>
        <v>222730</v>
      </c>
      <c r="D20" s="61">
        <f t="shared" si="0"/>
        <v>237710</v>
      </c>
      <c r="E20" s="61">
        <f t="shared" si="0"/>
        <v>249625</v>
      </c>
      <c r="F20" s="61">
        <f t="shared" si="0"/>
        <v>269912</v>
      </c>
      <c r="G20" s="61">
        <f t="shared" si="0"/>
        <v>297302.66975999996</v>
      </c>
      <c r="H20" s="61">
        <f t="shared" si="0"/>
        <v>316411.6735104</v>
      </c>
      <c r="I20" s="61">
        <f t="shared" si="0"/>
        <v>335484.43328169605</v>
      </c>
      <c r="J20" s="61">
        <f t="shared" si="0"/>
        <v>355411.86509358441</v>
      </c>
      <c r="K20" s="61">
        <f t="shared" si="0"/>
        <v>375094.89131404471</v>
      </c>
    </row>
    <row r="21" spans="1:11" ht="15" customHeight="1" x14ac:dyDescent="0.25">
      <c r="A21" s="56" t="s">
        <v>85</v>
      </c>
      <c r="C21" s="59">
        <f t="shared" ref="C21:K21" si="1">C20/B20-1</f>
        <v>0.15973798762835067</v>
      </c>
      <c r="D21" s="59">
        <f t="shared" si="1"/>
        <v>6.72563193103759E-2</v>
      </c>
      <c r="E21" s="59">
        <f t="shared" si="1"/>
        <v>5.0124100795086557E-2</v>
      </c>
      <c r="F21" s="59">
        <f t="shared" si="1"/>
        <v>8.1269904857286024E-2</v>
      </c>
      <c r="G21" s="59">
        <f t="shared" si="1"/>
        <v>0.10147999999999979</v>
      </c>
      <c r="H21" s="59">
        <f t="shared" si="1"/>
        <v>6.4274578381102065E-2</v>
      </c>
      <c r="I21" s="59">
        <f t="shared" si="1"/>
        <v>6.0278306295387551E-2</v>
      </c>
      <c r="J21" s="59">
        <f t="shared" si="1"/>
        <v>5.939897603283395E-2</v>
      </c>
      <c r="K21" s="59">
        <f t="shared" si="1"/>
        <v>5.5380892293164008E-2</v>
      </c>
    </row>
    <row r="22" spans="1:11" ht="15" customHeight="1" x14ac:dyDescent="0.25">
      <c r="A22" s="56" t="s">
        <v>86</v>
      </c>
      <c r="G22" s="57">
        <v>297300</v>
      </c>
    </row>
    <row r="23" spans="1:11" ht="15" customHeight="1" x14ac:dyDescent="0.25">
      <c r="A23" s="56" t="s">
        <v>87</v>
      </c>
      <c r="G23" s="59">
        <f>G20/G22-1</f>
        <v>8.9800201814593805E-6</v>
      </c>
    </row>
    <row r="25" spans="1:11" ht="15" customHeight="1" x14ac:dyDescent="0.3">
      <c r="A25" s="50" t="s">
        <v>88</v>
      </c>
      <c r="B25" s="62">
        <v>3877</v>
      </c>
      <c r="C25" s="62">
        <v>4224</v>
      </c>
      <c r="D25" s="62">
        <v>4580</v>
      </c>
      <c r="E25" s="62">
        <v>4828</v>
      </c>
      <c r="F25" s="62">
        <v>5323</v>
      </c>
      <c r="G25" s="58">
        <f>F25*(1+G26)</f>
        <v>5881.915</v>
      </c>
      <c r="H25" s="58">
        <f>G25*(1+H26)</f>
        <v>6293.64905</v>
      </c>
      <c r="I25" s="58">
        <f>H25*(1+I26)</f>
        <v>6734.2044835000006</v>
      </c>
      <c r="J25" s="58">
        <f>I25*(1+J26)</f>
        <v>7171.9277749275006</v>
      </c>
      <c r="K25" s="58">
        <f>J25*(1+K26)</f>
        <v>7638.1030802977875</v>
      </c>
    </row>
    <row r="26" spans="1:11" ht="15" customHeight="1" x14ac:dyDescent="0.3">
      <c r="A26" s="56" t="s">
        <v>89</v>
      </c>
      <c r="C26" s="59">
        <f>C25/B25-1</f>
        <v>8.9502192416817117E-2</v>
      </c>
      <c r="D26" s="59">
        <f>D25/C25-1</f>
        <v>8.4280303030302983E-2</v>
      </c>
      <c r="E26" s="59">
        <f>E25/D25-1</f>
        <v>5.4148471615720561E-2</v>
      </c>
      <c r="F26" s="59">
        <f>F25/E25-1</f>
        <v>0.10252692626346316</v>
      </c>
      <c r="G26" s="60">
        <v>0.105</v>
      </c>
      <c r="H26" s="60">
        <v>7.0000000000000007E-2</v>
      </c>
      <c r="I26" s="60">
        <v>7.0000000000000007E-2</v>
      </c>
      <c r="J26" s="60">
        <v>6.5000000000000002E-2</v>
      </c>
      <c r="K26" s="60">
        <v>6.5000000000000002E-2</v>
      </c>
    </row>
    <row r="29" spans="1:11" ht="15" customHeight="1" thickBot="1" x14ac:dyDescent="0.35">
      <c r="A29" s="50" t="s">
        <v>90</v>
      </c>
      <c r="B29" s="63">
        <f t="shared" ref="B29:K29" si="2">B20+B25</f>
        <v>195929</v>
      </c>
      <c r="C29" s="63">
        <f t="shared" si="2"/>
        <v>226954</v>
      </c>
      <c r="D29" s="63">
        <f t="shared" si="2"/>
        <v>242290</v>
      </c>
      <c r="E29" s="63">
        <f t="shared" si="2"/>
        <v>254453</v>
      </c>
      <c r="F29" s="63">
        <f t="shared" si="2"/>
        <v>275235</v>
      </c>
      <c r="G29" s="63">
        <f t="shared" si="2"/>
        <v>303184.58475999994</v>
      </c>
      <c r="H29" s="63">
        <f t="shared" si="2"/>
        <v>322705.3225604</v>
      </c>
      <c r="I29" s="63">
        <f t="shared" si="2"/>
        <v>342218.63776519604</v>
      </c>
      <c r="J29" s="63">
        <f t="shared" si="2"/>
        <v>362583.79286851193</v>
      </c>
      <c r="K29" s="63">
        <f t="shared" si="2"/>
        <v>382732.99439434247</v>
      </c>
    </row>
    <row r="31" spans="1:11" ht="15" customHeight="1" x14ac:dyDescent="0.3">
      <c r="A31" s="49" t="s">
        <v>91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 customHeight="1" x14ac:dyDescent="0.3">
      <c r="A32" s="50" t="s">
        <v>68</v>
      </c>
      <c r="B32" s="65" t="s">
        <v>69</v>
      </c>
      <c r="C32" s="65" t="s">
        <v>70</v>
      </c>
      <c r="D32" s="65" t="s">
        <v>71</v>
      </c>
      <c r="E32" s="65" t="s">
        <v>72</v>
      </c>
      <c r="F32" s="65" t="s">
        <v>73</v>
      </c>
      <c r="G32" s="65" t="s">
        <v>74</v>
      </c>
      <c r="H32" s="65" t="s">
        <v>75</v>
      </c>
      <c r="I32" s="65" t="s">
        <v>76</v>
      </c>
      <c r="J32" s="65" t="s">
        <v>77</v>
      </c>
      <c r="K32" s="65" t="s">
        <v>78</v>
      </c>
    </row>
    <row r="33" spans="1:11" ht="15" customHeight="1" x14ac:dyDescent="0.3">
      <c r="A33" s="56" t="s">
        <v>92</v>
      </c>
      <c r="B33" s="57">
        <f>141398/195929</f>
        <v>0.72167979216961242</v>
      </c>
      <c r="C33" s="57">
        <f>165294/226954</f>
        <v>0.72831498894049018</v>
      </c>
      <c r="D33" s="57">
        <f>176630/242290</f>
        <v>0.72900243509843576</v>
      </c>
      <c r="E33" s="57">
        <f>0.729</f>
        <v>0.72899999999999998</v>
      </c>
      <c r="F33" s="60">
        <v>0.72199999999999998</v>
      </c>
      <c r="G33" s="60">
        <v>0.72050000000000003</v>
      </c>
      <c r="H33" s="60">
        <v>0.71899999999999997</v>
      </c>
      <c r="I33" s="60">
        <v>0.71750000000000003</v>
      </c>
      <c r="J33" s="60">
        <v>0.71599999999999997</v>
      </c>
      <c r="K33" s="60">
        <v>0.71450000000000002</v>
      </c>
    </row>
    <row r="34" spans="1:11" ht="15" customHeight="1" x14ac:dyDescent="0.25">
      <c r="A34" s="56" t="s">
        <v>93</v>
      </c>
      <c r="B34" s="58">
        <f t="shared" ref="B34:K34" si="3">B29*B33</f>
        <v>141398</v>
      </c>
      <c r="C34" s="58">
        <f t="shared" si="3"/>
        <v>165294</v>
      </c>
      <c r="D34" s="58">
        <f t="shared" si="3"/>
        <v>176630</v>
      </c>
      <c r="E34" s="58">
        <f t="shared" si="3"/>
        <v>185496.23699999999</v>
      </c>
      <c r="F34" s="58">
        <f t="shared" si="3"/>
        <v>198719.66999999998</v>
      </c>
      <c r="G34" s="58">
        <f t="shared" si="3"/>
        <v>218444.49331957995</v>
      </c>
      <c r="H34" s="58">
        <f t="shared" si="3"/>
        <v>232025.12692092761</v>
      </c>
      <c r="I34" s="58">
        <f t="shared" si="3"/>
        <v>245541.87259652818</v>
      </c>
      <c r="J34" s="58">
        <f t="shared" si="3"/>
        <v>259609.99569385452</v>
      </c>
      <c r="K34" s="58">
        <f t="shared" si="3"/>
        <v>273462.72449475771</v>
      </c>
    </row>
    <row r="35" spans="1:11" ht="15" customHeight="1" x14ac:dyDescent="0.25">
      <c r="A35" s="56" t="s">
        <v>94</v>
      </c>
      <c r="C35" s="59">
        <f t="shared" ref="C35:K35" si="4">C34/B34-1</f>
        <v>0.16899814707421612</v>
      </c>
      <c r="D35" s="59">
        <f t="shared" si="4"/>
        <v>6.8580831730129299E-2</v>
      </c>
      <c r="E35" s="59">
        <f t="shared" si="4"/>
        <v>5.0196665345637825E-2</v>
      </c>
      <c r="F35" s="59">
        <f t="shared" si="4"/>
        <v>7.1286799203371443E-2</v>
      </c>
      <c r="G35" s="59">
        <f t="shared" si="4"/>
        <v>9.9259541441367949E-2</v>
      </c>
      <c r="H35" s="59">
        <f t="shared" si="4"/>
        <v>6.2169722820522022E-2</v>
      </c>
      <c r="I35" s="59">
        <f t="shared" si="4"/>
        <v>5.8255525403535069E-2</v>
      </c>
      <c r="J35" s="59">
        <f t="shared" si="4"/>
        <v>5.7294191612047074E-2</v>
      </c>
      <c r="K35" s="59">
        <f t="shared" si="4"/>
        <v>5.3359766691106314E-2</v>
      </c>
    </row>
    <row r="37" spans="1:11" ht="15" customHeight="1" x14ac:dyDescent="0.3">
      <c r="A37" s="56" t="s">
        <v>95</v>
      </c>
      <c r="B37" s="57">
        <f>27298/195929</f>
        <v>0.13932598032960919</v>
      </c>
      <c r="C37" s="57">
        <f>31675/226954</f>
        <v>0.13956572697551045</v>
      </c>
      <c r="D37" s="57">
        <f>33056/242290</f>
        <v>0.13643154897024226</v>
      </c>
      <c r="E37" s="57">
        <f>0.1364</f>
        <v>0.13639999999999999</v>
      </c>
      <c r="F37" s="60">
        <v>0.13700000000000001</v>
      </c>
      <c r="G37" s="60">
        <v>0.13719999999999999</v>
      </c>
      <c r="H37" s="60">
        <v>0.13739999999999999</v>
      </c>
      <c r="I37" s="60">
        <v>0.1376</v>
      </c>
      <c r="J37" s="60">
        <v>0.13780000000000001</v>
      </c>
      <c r="K37" s="60">
        <v>0.13800000000000001</v>
      </c>
    </row>
    <row r="38" spans="1:11" ht="15" customHeight="1" x14ac:dyDescent="0.25">
      <c r="A38" s="56" t="s">
        <v>96</v>
      </c>
      <c r="B38" s="58">
        <f t="shared" ref="B38:K38" si="5">B29*B37</f>
        <v>27298</v>
      </c>
      <c r="C38" s="58">
        <f t="shared" si="5"/>
        <v>31675</v>
      </c>
      <c r="D38" s="58">
        <f t="shared" si="5"/>
        <v>33056</v>
      </c>
      <c r="E38" s="58">
        <f t="shared" si="5"/>
        <v>34707.389199999998</v>
      </c>
      <c r="F38" s="58">
        <f t="shared" si="5"/>
        <v>37707.195</v>
      </c>
      <c r="G38" s="58">
        <f t="shared" si="5"/>
        <v>41596.925029071987</v>
      </c>
      <c r="H38" s="58">
        <f t="shared" si="5"/>
        <v>44339.71131979896</v>
      </c>
      <c r="I38" s="58">
        <f t="shared" si="5"/>
        <v>47089.284556490973</v>
      </c>
      <c r="J38" s="58">
        <f t="shared" si="5"/>
        <v>49964.046657280946</v>
      </c>
      <c r="K38" s="58">
        <f t="shared" si="5"/>
        <v>52817.153226419265</v>
      </c>
    </row>
    <row r="39" spans="1:11" ht="15" customHeight="1" x14ac:dyDescent="0.25">
      <c r="A39" s="56" t="s">
        <v>94</v>
      </c>
      <c r="C39" s="59">
        <f t="shared" ref="C39:K39" si="6">C38/B38-1</f>
        <v>0.16034141695362303</v>
      </c>
      <c r="D39" s="59">
        <f t="shared" si="6"/>
        <v>4.3599052880820777E-2</v>
      </c>
      <c r="E39" s="59">
        <f t="shared" si="6"/>
        <v>4.9957320909970848E-2</v>
      </c>
      <c r="F39" s="59">
        <f t="shared" si="6"/>
        <v>8.6431329729635742E-2</v>
      </c>
      <c r="G39" s="59">
        <f t="shared" si="6"/>
        <v>0.10315617560712176</v>
      </c>
      <c r="H39" s="59">
        <f t="shared" si="6"/>
        <v>6.5937236678193178E-2</v>
      </c>
      <c r="I39" s="59">
        <f t="shared" si="6"/>
        <v>6.2011527699420199E-2</v>
      </c>
      <c r="J39" s="59">
        <f t="shared" si="6"/>
        <v>6.1049177702864554E-2</v>
      </c>
      <c r="K39" s="59">
        <f t="shared" si="6"/>
        <v>5.71031923956975E-2</v>
      </c>
    </row>
    <row r="41" spans="1:11" ht="15" customHeight="1" x14ac:dyDescent="0.3">
      <c r="A41" s="56" t="s">
        <v>97</v>
      </c>
      <c r="B41" s="57">
        <f>27233/195929</f>
        <v>0.13899422750077833</v>
      </c>
      <c r="C41" s="57">
        <f>29985/226954</f>
        <v>0.13211928408399939</v>
      </c>
      <c r="D41" s="57">
        <f>32604/242290</f>
        <v>0.13456601593132198</v>
      </c>
      <c r="E41" s="57">
        <f>0.1346</f>
        <v>0.1346</v>
      </c>
      <c r="F41" s="60">
        <v>0.14099999999999999</v>
      </c>
      <c r="G41" s="60">
        <v>0.14230000000000001</v>
      </c>
      <c r="H41" s="60">
        <v>0.14360000000000001</v>
      </c>
      <c r="I41" s="60">
        <v>0.1449</v>
      </c>
      <c r="J41" s="60">
        <v>0.1462</v>
      </c>
      <c r="K41" s="60">
        <v>0.14749999999999999</v>
      </c>
    </row>
    <row r="42" spans="1:11" ht="15" customHeight="1" x14ac:dyDescent="0.25">
      <c r="A42" s="56" t="s">
        <v>98</v>
      </c>
      <c r="B42" s="58">
        <f t="shared" ref="B42:K42" si="7">B29*B41</f>
        <v>27232.999999999996</v>
      </c>
      <c r="C42" s="58">
        <f t="shared" si="7"/>
        <v>29985</v>
      </c>
      <c r="D42" s="58">
        <f t="shared" si="7"/>
        <v>32604</v>
      </c>
      <c r="E42" s="58">
        <f t="shared" si="7"/>
        <v>34249.373800000001</v>
      </c>
      <c r="F42" s="58">
        <f t="shared" si="7"/>
        <v>38808.134999999995</v>
      </c>
      <c r="G42" s="58">
        <f t="shared" si="7"/>
        <v>43143.166411347993</v>
      </c>
      <c r="H42" s="58">
        <f t="shared" si="7"/>
        <v>46340.484319673444</v>
      </c>
      <c r="I42" s="58">
        <f t="shared" si="7"/>
        <v>49587.480612176907</v>
      </c>
      <c r="J42" s="58">
        <f t="shared" si="7"/>
        <v>53009.750517376444</v>
      </c>
      <c r="K42" s="58">
        <f t="shared" si="7"/>
        <v>56453.11667316551</v>
      </c>
    </row>
    <row r="43" spans="1:11" ht="15" customHeight="1" x14ac:dyDescent="0.25">
      <c r="A43" s="56" t="s">
        <v>94</v>
      </c>
      <c r="C43" s="59">
        <f t="shared" ref="C43:K43" si="8">C42/B42-1</f>
        <v>0.10105386846840236</v>
      </c>
      <c r="D43" s="59">
        <f t="shared" si="8"/>
        <v>8.7343671835917958E-2</v>
      </c>
      <c r="E43" s="59">
        <f t="shared" si="8"/>
        <v>5.0465396883818014E-2</v>
      </c>
      <c r="F43" s="59">
        <f t="shared" si="8"/>
        <v>0.13310495037430425</v>
      </c>
      <c r="G43" s="59">
        <f t="shared" si="8"/>
        <v>0.1117041932406182</v>
      </c>
      <c r="H43" s="59">
        <f t="shared" si="8"/>
        <v>7.4109486490645082E-2</v>
      </c>
      <c r="I43" s="59">
        <f t="shared" si="8"/>
        <v>7.0068242491910571E-2</v>
      </c>
      <c r="J43" s="59">
        <f t="shared" si="8"/>
        <v>6.9014796939676604E-2</v>
      </c>
      <c r="K43" s="59">
        <f t="shared" si="8"/>
        <v>6.4957222438923656E-2</v>
      </c>
    </row>
    <row r="45" spans="1:11" ht="15" customHeight="1" x14ac:dyDescent="0.3">
      <c r="A45" s="50" t="s">
        <v>99</v>
      </c>
      <c r="B45" s="61">
        <f t="shared" ref="B45:K45" si="9">SUM(B34,B38,B42)</f>
        <v>195929</v>
      </c>
      <c r="C45" s="61">
        <f t="shared" si="9"/>
        <v>226954</v>
      </c>
      <c r="D45" s="61">
        <f t="shared" si="9"/>
        <v>242290</v>
      </c>
      <c r="E45" s="61">
        <f t="shared" si="9"/>
        <v>254453</v>
      </c>
      <c r="F45" s="61">
        <f t="shared" si="9"/>
        <v>275235</v>
      </c>
      <c r="G45" s="61">
        <f t="shared" si="9"/>
        <v>303184.58475999994</v>
      </c>
      <c r="H45" s="61">
        <f t="shared" si="9"/>
        <v>322705.3225604</v>
      </c>
      <c r="I45" s="61">
        <f t="shared" si="9"/>
        <v>342218.63776519604</v>
      </c>
      <c r="J45" s="61">
        <f t="shared" si="9"/>
        <v>362583.79286851193</v>
      </c>
      <c r="K45" s="61">
        <f t="shared" si="9"/>
        <v>382732.99439434247</v>
      </c>
    </row>
    <row r="46" spans="1:11" ht="15" customHeight="1" x14ac:dyDescent="0.25">
      <c r="A46" s="56" t="s">
        <v>100</v>
      </c>
      <c r="B46" s="58">
        <f t="shared" ref="B46:K46" si="10">B45-B29</f>
        <v>0</v>
      </c>
      <c r="C46" s="58">
        <f t="shared" si="10"/>
        <v>0</v>
      </c>
      <c r="D46" s="58">
        <f t="shared" si="10"/>
        <v>0</v>
      </c>
      <c r="E46" s="58">
        <f t="shared" si="10"/>
        <v>0</v>
      </c>
      <c r="F46" s="58">
        <f t="shared" si="10"/>
        <v>0</v>
      </c>
      <c r="G46" s="58">
        <f t="shared" si="10"/>
        <v>0</v>
      </c>
      <c r="H46" s="58">
        <f t="shared" si="10"/>
        <v>0</v>
      </c>
      <c r="I46" s="58">
        <f t="shared" si="10"/>
        <v>0</v>
      </c>
      <c r="J46" s="58">
        <f t="shared" si="10"/>
        <v>0</v>
      </c>
      <c r="K46" s="58">
        <f t="shared" si="10"/>
        <v>0</v>
      </c>
    </row>
    <row r="47" spans="1:11" ht="15" customHeight="1" x14ac:dyDescent="0.25">
      <c r="A47" s="56" t="s">
        <v>101</v>
      </c>
      <c r="B47" s="59">
        <f t="shared" ref="B47:K47" si="11">B33+B37+B41-1</f>
        <v>0</v>
      </c>
      <c r="C47" s="59">
        <f t="shared" si="11"/>
        <v>0</v>
      </c>
      <c r="D47" s="59">
        <f t="shared" si="11"/>
        <v>0</v>
      </c>
      <c r="E47" s="59">
        <f t="shared" si="11"/>
        <v>0</v>
      </c>
      <c r="F47" s="59">
        <f t="shared" si="11"/>
        <v>0</v>
      </c>
      <c r="G47" s="59">
        <f t="shared" si="11"/>
        <v>0</v>
      </c>
      <c r="H47" s="59">
        <f t="shared" si="11"/>
        <v>0</v>
      </c>
      <c r="I47" s="59">
        <f t="shared" si="11"/>
        <v>0</v>
      </c>
      <c r="J47" s="59">
        <f t="shared" si="11"/>
        <v>0</v>
      </c>
      <c r="K47" s="59">
        <f t="shared" si="1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zoomScaleNormal="10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A6" sqref="A6"/>
    </sheetView>
  </sheetViews>
  <sheetFormatPr defaultColWidth="8.6328125" defaultRowHeight="12.5" x14ac:dyDescent="0.25"/>
  <cols>
    <col min="1" max="1" width="52" style="51" customWidth="1"/>
    <col min="2" max="11" width="12" style="51" customWidth="1"/>
    <col min="12" max="16384" width="8.6328125" style="51"/>
  </cols>
  <sheetData>
    <row r="1" spans="1:11" ht="17.25" customHeight="1" x14ac:dyDescent="0.3">
      <c r="A1" s="50" t="s">
        <v>102</v>
      </c>
    </row>
    <row r="2" spans="1:11" ht="15" customHeight="1" x14ac:dyDescent="0.3">
      <c r="A2" s="66" t="s">
        <v>103</v>
      </c>
    </row>
    <row r="3" spans="1:11" ht="15" customHeight="1" x14ac:dyDescent="0.3">
      <c r="A3" s="66" t="s">
        <v>66</v>
      </c>
    </row>
    <row r="5" spans="1:11" ht="15" customHeight="1" x14ac:dyDescent="0.3">
      <c r="A5" s="50" t="s">
        <v>68</v>
      </c>
      <c r="B5" s="65" t="s">
        <v>69</v>
      </c>
      <c r="C5" s="65" t="s">
        <v>70</v>
      </c>
      <c r="D5" s="65" t="s">
        <v>71</v>
      </c>
      <c r="E5" s="65" t="s">
        <v>72</v>
      </c>
      <c r="F5" s="65" t="s">
        <v>73</v>
      </c>
      <c r="G5" s="65" t="s">
        <v>74</v>
      </c>
      <c r="H5" s="65" t="s">
        <v>75</v>
      </c>
      <c r="I5" s="65" t="s">
        <v>76</v>
      </c>
      <c r="J5" s="65" t="s">
        <v>77</v>
      </c>
      <c r="K5" s="65" t="s">
        <v>78</v>
      </c>
    </row>
    <row r="6" spans="1:11" ht="15" customHeight="1" x14ac:dyDescent="0.3">
      <c r="A6" s="49" t="s">
        <v>104</v>
      </c>
    </row>
    <row r="7" spans="1:11" ht="15" customHeight="1" x14ac:dyDescent="0.25">
      <c r="A7" s="56" t="s">
        <v>105</v>
      </c>
      <c r="B7" s="68">
        <f>'Revenue Model'!B20</f>
        <v>192052</v>
      </c>
      <c r="C7" s="68">
        <f>'Revenue Model'!C20</f>
        <v>222730</v>
      </c>
      <c r="D7" s="68">
        <f>'Revenue Model'!D20</f>
        <v>237710</v>
      </c>
      <c r="E7" s="68">
        <f>'Revenue Model'!E20</f>
        <v>249625</v>
      </c>
      <c r="F7" s="68">
        <f>'Revenue Model'!F20</f>
        <v>269912</v>
      </c>
      <c r="G7" s="68">
        <f>'Revenue Model'!G20</f>
        <v>297302.66975999996</v>
      </c>
      <c r="H7" s="68">
        <f>'Revenue Model'!H20</f>
        <v>316411.6735104</v>
      </c>
      <c r="I7" s="68">
        <f>'Revenue Model'!I20</f>
        <v>335484.43328169605</v>
      </c>
      <c r="J7" s="68">
        <f>'Revenue Model'!J20</f>
        <v>355411.86509358441</v>
      </c>
      <c r="K7" s="68">
        <f>'Revenue Model'!K20</f>
        <v>375094.89131404471</v>
      </c>
    </row>
    <row r="8" spans="1:11" ht="15" customHeight="1" x14ac:dyDescent="0.25">
      <c r="A8" s="56" t="s">
        <v>106</v>
      </c>
      <c r="C8" s="59">
        <f t="shared" ref="C8:K8" si="0">C7/B7-1</f>
        <v>0.15973798762835067</v>
      </c>
      <c r="D8" s="59">
        <f t="shared" si="0"/>
        <v>6.72563193103759E-2</v>
      </c>
      <c r="E8" s="59">
        <f t="shared" si="0"/>
        <v>5.0124100795086557E-2</v>
      </c>
      <c r="F8" s="59">
        <f t="shared" si="0"/>
        <v>8.1269904857286024E-2</v>
      </c>
      <c r="G8" s="59">
        <f t="shared" si="0"/>
        <v>0.10147999999999979</v>
      </c>
      <c r="H8" s="59">
        <f t="shared" si="0"/>
        <v>6.4274578381102065E-2</v>
      </c>
      <c r="I8" s="59">
        <f t="shared" si="0"/>
        <v>6.0278306295387551E-2</v>
      </c>
      <c r="J8" s="59">
        <f t="shared" si="0"/>
        <v>5.939897603283395E-2</v>
      </c>
      <c r="K8" s="59">
        <f t="shared" si="0"/>
        <v>5.5380892293164008E-2</v>
      </c>
    </row>
    <row r="9" spans="1:11" ht="15" customHeight="1" x14ac:dyDescent="0.25">
      <c r="A9" s="56" t="s">
        <v>107</v>
      </c>
      <c r="B9" s="68">
        <f>'Revenue Model'!B25</f>
        <v>3877</v>
      </c>
      <c r="C9" s="68">
        <f>'Revenue Model'!C25</f>
        <v>4224</v>
      </c>
      <c r="D9" s="68">
        <f>'Revenue Model'!D25</f>
        <v>4580</v>
      </c>
      <c r="E9" s="68">
        <f>'Revenue Model'!E25</f>
        <v>4828</v>
      </c>
      <c r="F9" s="68">
        <f>'Revenue Model'!F25</f>
        <v>5323</v>
      </c>
      <c r="G9" s="68">
        <f>'Revenue Model'!G25</f>
        <v>5881.915</v>
      </c>
      <c r="H9" s="68">
        <f>'Revenue Model'!H25</f>
        <v>6293.64905</v>
      </c>
      <c r="I9" s="68">
        <f>'Revenue Model'!I25</f>
        <v>6734.2044835000006</v>
      </c>
      <c r="J9" s="68">
        <f>'Revenue Model'!J25</f>
        <v>7171.9277749275006</v>
      </c>
      <c r="K9" s="68">
        <f>'Revenue Model'!K25</f>
        <v>7638.1030802977875</v>
      </c>
    </row>
    <row r="10" spans="1:11" ht="15" customHeight="1" x14ac:dyDescent="0.3">
      <c r="A10" s="50" t="s">
        <v>108</v>
      </c>
      <c r="B10" s="61">
        <f t="shared" ref="B10:K10" si="1">B7+B9</f>
        <v>195929</v>
      </c>
      <c r="C10" s="61">
        <f t="shared" si="1"/>
        <v>226954</v>
      </c>
      <c r="D10" s="61">
        <f t="shared" si="1"/>
        <v>242290</v>
      </c>
      <c r="E10" s="61">
        <f t="shared" si="1"/>
        <v>254453</v>
      </c>
      <c r="F10" s="61">
        <f t="shared" si="1"/>
        <v>275235</v>
      </c>
      <c r="G10" s="61">
        <f t="shared" si="1"/>
        <v>303184.58475999994</v>
      </c>
      <c r="H10" s="61">
        <f t="shared" si="1"/>
        <v>322705.3225604</v>
      </c>
      <c r="I10" s="61">
        <f t="shared" si="1"/>
        <v>342218.63776519604</v>
      </c>
      <c r="J10" s="61">
        <f t="shared" si="1"/>
        <v>362583.79286851193</v>
      </c>
      <c r="K10" s="61">
        <f t="shared" si="1"/>
        <v>382732.99439434247</v>
      </c>
    </row>
    <row r="11" spans="1:11" ht="15" customHeight="1" x14ac:dyDescent="0.25">
      <c r="A11" s="56" t="s">
        <v>106</v>
      </c>
      <c r="C11" s="59">
        <f t="shared" ref="C11:K11" si="2">C10/B10-1</f>
        <v>0.15834817714580285</v>
      </c>
      <c r="D11" s="59">
        <f t="shared" si="2"/>
        <v>6.7573164606043568E-2</v>
      </c>
      <c r="E11" s="59">
        <f t="shared" si="2"/>
        <v>5.0200173345990251E-2</v>
      </c>
      <c r="F11" s="59">
        <f t="shared" si="2"/>
        <v>8.1673236314761422E-2</v>
      </c>
      <c r="G11" s="59">
        <f t="shared" si="2"/>
        <v>0.10154807622577056</v>
      </c>
      <c r="H11" s="59">
        <f t="shared" si="2"/>
        <v>6.438565409205288E-2</v>
      </c>
      <c r="I11" s="59">
        <f t="shared" si="2"/>
        <v>6.0467906292880569E-2</v>
      </c>
      <c r="J11" s="59">
        <f t="shared" si="2"/>
        <v>5.9509193410117289E-2</v>
      </c>
      <c r="K11" s="59">
        <f t="shared" si="2"/>
        <v>5.5571158783529695E-2</v>
      </c>
    </row>
    <row r="13" spans="1:11" ht="15" customHeight="1" x14ac:dyDescent="0.3">
      <c r="A13" s="49" t="s">
        <v>109</v>
      </c>
    </row>
    <row r="14" spans="1:11" ht="15" customHeight="1" x14ac:dyDescent="0.25">
      <c r="A14" s="56" t="s">
        <v>110</v>
      </c>
      <c r="B14" s="57">
        <v>170684</v>
      </c>
      <c r="C14" s="57">
        <v>199382</v>
      </c>
      <c r="D14" s="57">
        <v>212586</v>
      </c>
      <c r="E14" s="57">
        <v>222358</v>
      </c>
      <c r="F14" s="57">
        <v>239886</v>
      </c>
      <c r="G14" s="58">
        <f>G7*(1-G15)</f>
        <v>264361.53395059198</v>
      </c>
      <c r="H14" s="58">
        <f>H7*(1-H15)</f>
        <v>281448.18358750077</v>
      </c>
      <c r="I14" s="58">
        <f>I7*(1-I15)</f>
        <v>298312.75807408412</v>
      </c>
      <c r="J14" s="58">
        <f>J7*(1-J15)</f>
        <v>315961.14806819655</v>
      </c>
      <c r="K14" s="58">
        <f>K7*(1-K15)</f>
        <v>333384.33939992293</v>
      </c>
    </row>
    <row r="15" spans="1:11" ht="15" customHeight="1" x14ac:dyDescent="0.3">
      <c r="A15" s="56" t="s">
        <v>111</v>
      </c>
      <c r="B15" s="59">
        <f>1-B14/B7</f>
        <v>0.11126153333472188</v>
      </c>
      <c r="C15" s="59">
        <f>1-C14/C7</f>
        <v>0.10482647151259372</v>
      </c>
      <c r="D15" s="59">
        <f>1-D14/D7</f>
        <v>0.10569180934752431</v>
      </c>
      <c r="E15" s="59">
        <f>1-E14/E7</f>
        <v>0.10923184777165751</v>
      </c>
      <c r="F15" s="59">
        <f>1-F14/F7</f>
        <v>0.11124366460179613</v>
      </c>
      <c r="G15" s="60">
        <v>0.1108</v>
      </c>
      <c r="H15" s="60">
        <v>0.1105</v>
      </c>
      <c r="I15" s="60">
        <v>0.1108</v>
      </c>
      <c r="J15" s="60">
        <v>0.111</v>
      </c>
      <c r="K15" s="60">
        <v>0.11119999999999999</v>
      </c>
    </row>
    <row r="17" spans="1:11" ht="15" customHeight="1" x14ac:dyDescent="0.25">
      <c r="A17" s="56" t="s">
        <v>112</v>
      </c>
      <c r="B17" s="58">
        <f t="shared" ref="B17:K17" si="3">B7-B14</f>
        <v>21368</v>
      </c>
      <c r="C17" s="58">
        <f t="shared" si="3"/>
        <v>23348</v>
      </c>
      <c r="D17" s="58">
        <f t="shared" si="3"/>
        <v>25124</v>
      </c>
      <c r="E17" s="58">
        <f t="shared" si="3"/>
        <v>27267</v>
      </c>
      <c r="F17" s="58">
        <f t="shared" si="3"/>
        <v>30026</v>
      </c>
      <c r="G17" s="58">
        <f t="shared" si="3"/>
        <v>32941.135809407977</v>
      </c>
      <c r="H17" s="58">
        <f t="shared" si="3"/>
        <v>34963.489922899229</v>
      </c>
      <c r="I17" s="58">
        <f t="shared" si="3"/>
        <v>37171.67520761193</v>
      </c>
      <c r="J17" s="58">
        <f t="shared" si="3"/>
        <v>39450.717025387858</v>
      </c>
      <c r="K17" s="58">
        <f t="shared" si="3"/>
        <v>41710.551914121781</v>
      </c>
    </row>
    <row r="19" spans="1:11" ht="15" customHeight="1" x14ac:dyDescent="0.25">
      <c r="A19" s="56" t="s">
        <v>113</v>
      </c>
      <c r="B19" s="57">
        <v>18537</v>
      </c>
      <c r="C19" s="57">
        <v>19779</v>
      </c>
      <c r="D19" s="57">
        <v>21590</v>
      </c>
      <c r="E19" s="57">
        <v>22810</v>
      </c>
      <c r="F19" s="57">
        <v>24966</v>
      </c>
      <c r="G19" s="58">
        <f>G7*G20</f>
        <v>27500.496952799997</v>
      </c>
      <c r="H19" s="58">
        <f>H7*H20</f>
        <v>29109.873962956801</v>
      </c>
      <c r="I19" s="58">
        <f>I7*I20</f>
        <v>30797.470975259701</v>
      </c>
      <c r="J19" s="58">
        <f>J7*J20</f>
        <v>32520.185656062971</v>
      </c>
      <c r="K19" s="58">
        <f>K7*K20</f>
        <v>34208.654087840878</v>
      </c>
    </row>
    <row r="20" spans="1:11" ht="15" customHeight="1" x14ac:dyDescent="0.3">
      <c r="A20" s="56" t="s">
        <v>114</v>
      </c>
      <c r="B20" s="59">
        <f>B19/B7</f>
        <v>9.6520733967883701E-2</v>
      </c>
      <c r="C20" s="59">
        <f>C19/C7</f>
        <v>8.8802586090782565E-2</v>
      </c>
      <c r="D20" s="59">
        <f>D19/D7</f>
        <v>9.0824954776828906E-2</v>
      </c>
      <c r="E20" s="59">
        <f>E19/E7</f>
        <v>9.1377065598397603E-2</v>
      </c>
      <c r="F20" s="59">
        <f>F19/F7</f>
        <v>9.2496813776341918E-2</v>
      </c>
      <c r="G20" s="60">
        <v>9.2499999999999999E-2</v>
      </c>
      <c r="H20" s="60">
        <v>9.1999999999999998E-2</v>
      </c>
      <c r="I20" s="60">
        <v>9.1800000000000007E-2</v>
      </c>
      <c r="J20" s="60">
        <v>9.1499999999999998E-2</v>
      </c>
      <c r="K20" s="60">
        <v>9.1200000000000003E-2</v>
      </c>
    </row>
    <row r="23" spans="1:11" ht="15" customHeight="1" x14ac:dyDescent="0.3">
      <c r="A23" s="50" t="s">
        <v>115</v>
      </c>
      <c r="B23" s="61">
        <f t="shared" ref="B23:K23" si="4">B17+B9-B19</f>
        <v>6708</v>
      </c>
      <c r="C23" s="61">
        <f t="shared" si="4"/>
        <v>7793</v>
      </c>
      <c r="D23" s="61">
        <f t="shared" si="4"/>
        <v>8114</v>
      </c>
      <c r="E23" s="61">
        <f t="shared" si="4"/>
        <v>9285</v>
      </c>
      <c r="F23" s="61">
        <f t="shared" si="4"/>
        <v>10383</v>
      </c>
      <c r="G23" s="61">
        <f t="shared" si="4"/>
        <v>11322.553856607981</v>
      </c>
      <c r="H23" s="61">
        <f t="shared" si="4"/>
        <v>12147.265009942428</v>
      </c>
      <c r="I23" s="61">
        <f t="shared" si="4"/>
        <v>13108.408715852227</v>
      </c>
      <c r="J23" s="61">
        <f t="shared" si="4"/>
        <v>14102.459144252385</v>
      </c>
      <c r="K23" s="61">
        <f t="shared" si="4"/>
        <v>15140.000906578694</v>
      </c>
    </row>
    <row r="24" spans="1:11" ht="15" customHeight="1" x14ac:dyDescent="0.25">
      <c r="A24" s="56" t="s">
        <v>116</v>
      </c>
      <c r="B24" s="59">
        <f t="shared" ref="B24:K24" si="5">B23/B10</f>
        <v>3.4236891935343926E-2</v>
      </c>
      <c r="C24" s="59">
        <f t="shared" si="5"/>
        <v>3.4337354706240032E-2</v>
      </c>
      <c r="D24" s="59">
        <f t="shared" si="5"/>
        <v>3.3488794419910026E-2</v>
      </c>
      <c r="E24" s="59">
        <f t="shared" si="5"/>
        <v>3.6490039417888566E-2</v>
      </c>
      <c r="F24" s="59">
        <f t="shared" si="5"/>
        <v>3.7724126655403561E-2</v>
      </c>
      <c r="G24" s="59">
        <f t="shared" si="5"/>
        <v>3.734541406704725E-2</v>
      </c>
      <c r="H24" s="59">
        <f t="shared" si="5"/>
        <v>3.7641972910653972E-2</v>
      </c>
      <c r="I24" s="59">
        <f t="shared" si="5"/>
        <v>3.8304192902685219E-2</v>
      </c>
      <c r="J24" s="59">
        <f t="shared" si="5"/>
        <v>3.8894345035897754E-2</v>
      </c>
      <c r="K24" s="59">
        <f t="shared" si="5"/>
        <v>3.9557605767793956E-2</v>
      </c>
    </row>
    <row r="26" spans="1:11" ht="15" customHeight="1" x14ac:dyDescent="0.3">
      <c r="A26" s="49" t="s">
        <v>117</v>
      </c>
    </row>
    <row r="27" spans="1:11" ht="15" customHeight="1" x14ac:dyDescent="0.3">
      <c r="A27" s="56" t="s">
        <v>118</v>
      </c>
      <c r="B27" s="57">
        <v>-171</v>
      </c>
      <c r="C27" s="57">
        <v>-158</v>
      </c>
      <c r="D27" s="57">
        <v>-160</v>
      </c>
      <c r="E27" s="57">
        <v>-169</v>
      </c>
      <c r="G27" s="62">
        <v>-165</v>
      </c>
      <c r="H27" s="62">
        <v>-160</v>
      </c>
      <c r="I27" s="62">
        <v>-158</v>
      </c>
      <c r="J27" s="62">
        <v>-155</v>
      </c>
      <c r="K27" s="62">
        <v>-150</v>
      </c>
    </row>
    <row r="28" spans="1:11" ht="15" customHeight="1" x14ac:dyDescent="0.3">
      <c r="A28" s="56" t="s">
        <v>119</v>
      </c>
      <c r="B28" s="57">
        <v>143</v>
      </c>
      <c r="C28" s="57">
        <v>205</v>
      </c>
      <c r="D28" s="57">
        <v>533</v>
      </c>
      <c r="E28" s="57">
        <v>624</v>
      </c>
      <c r="F28" s="57">
        <v>435</v>
      </c>
      <c r="G28" s="62">
        <v>550</v>
      </c>
      <c r="H28" s="62">
        <v>500</v>
      </c>
      <c r="I28" s="62">
        <v>480</v>
      </c>
      <c r="J28" s="62">
        <v>470</v>
      </c>
      <c r="K28" s="62">
        <v>460</v>
      </c>
    </row>
    <row r="29" spans="1:11" ht="15" customHeight="1" x14ac:dyDescent="0.3">
      <c r="A29" s="50" t="s">
        <v>120</v>
      </c>
      <c r="B29" s="69">
        <f t="shared" ref="B29:K29" si="6">B23+B27+B28</f>
        <v>6680</v>
      </c>
      <c r="C29" s="69">
        <f t="shared" si="6"/>
        <v>7840</v>
      </c>
      <c r="D29" s="69">
        <f t="shared" si="6"/>
        <v>8487</v>
      </c>
      <c r="E29" s="69">
        <f t="shared" si="6"/>
        <v>9740</v>
      </c>
      <c r="F29" s="69">
        <f t="shared" si="6"/>
        <v>10818</v>
      </c>
      <c r="G29" s="69">
        <f t="shared" si="6"/>
        <v>11707.553856607981</v>
      </c>
      <c r="H29" s="69">
        <f t="shared" si="6"/>
        <v>12487.265009942428</v>
      </c>
      <c r="I29" s="69">
        <f t="shared" si="6"/>
        <v>13430.408715852227</v>
      </c>
      <c r="J29" s="69">
        <f t="shared" si="6"/>
        <v>14417.459144252385</v>
      </c>
      <c r="K29" s="69">
        <f t="shared" si="6"/>
        <v>15450.000906578694</v>
      </c>
    </row>
    <row r="30" spans="1:11" ht="15" customHeight="1" x14ac:dyDescent="0.25">
      <c r="A30" s="56" t="s">
        <v>121</v>
      </c>
      <c r="B30" s="57">
        <v>1601</v>
      </c>
      <c r="C30" s="57">
        <v>1925</v>
      </c>
      <c r="D30" s="57">
        <v>2195</v>
      </c>
      <c r="E30" s="57">
        <v>2373</v>
      </c>
      <c r="F30" s="57">
        <v>2719</v>
      </c>
      <c r="G30" s="58">
        <f>G29*G31</f>
        <v>2903.4733564387793</v>
      </c>
      <c r="H30" s="58">
        <f>H29*H31</f>
        <v>3084.3544574557795</v>
      </c>
      <c r="I30" s="58">
        <f>I29*I31</f>
        <v>3303.880544099648</v>
      </c>
      <c r="J30" s="58">
        <f>J29*J31</f>
        <v>3546.6949494860869</v>
      </c>
      <c r="K30" s="58">
        <f>K29*K31</f>
        <v>3785.2502221117802</v>
      </c>
    </row>
    <row r="31" spans="1:11" ht="15" customHeight="1" x14ac:dyDescent="0.3">
      <c r="A31" s="56" t="s">
        <v>122</v>
      </c>
      <c r="B31" s="59">
        <f>B30/B29</f>
        <v>0.23967065868263474</v>
      </c>
      <c r="C31" s="59">
        <f>C30/C29</f>
        <v>0.24553571428571427</v>
      </c>
      <c r="D31" s="59">
        <f>D30/D29</f>
        <v>0.25863084717803697</v>
      </c>
      <c r="E31" s="59">
        <f>E30/E29</f>
        <v>0.24363449691991787</v>
      </c>
      <c r="F31" s="59">
        <f>F30/F29</f>
        <v>0.25134035866149013</v>
      </c>
      <c r="G31" s="60">
        <v>0.248</v>
      </c>
      <c r="H31" s="60">
        <v>0.247</v>
      </c>
      <c r="I31" s="60">
        <v>0.246</v>
      </c>
      <c r="J31" s="60">
        <v>0.246</v>
      </c>
      <c r="K31" s="60">
        <v>0.245</v>
      </c>
    </row>
    <row r="33" spans="1:11" ht="15" customHeight="1" x14ac:dyDescent="0.25">
      <c r="A33" s="56" t="s">
        <v>123</v>
      </c>
      <c r="B33" s="58">
        <f t="shared" ref="B33:K33" si="7">B29-B30</f>
        <v>5079</v>
      </c>
      <c r="C33" s="58">
        <f t="shared" si="7"/>
        <v>5915</v>
      </c>
      <c r="D33" s="58">
        <f t="shared" si="7"/>
        <v>6292</v>
      </c>
      <c r="E33" s="58">
        <f t="shared" si="7"/>
        <v>7367</v>
      </c>
      <c r="F33" s="58">
        <f t="shared" si="7"/>
        <v>8099</v>
      </c>
      <c r="G33" s="58">
        <f t="shared" si="7"/>
        <v>8804.0805001692024</v>
      </c>
      <c r="H33" s="58">
        <f t="shared" si="7"/>
        <v>9402.9105524866482</v>
      </c>
      <c r="I33" s="58">
        <f t="shared" si="7"/>
        <v>10126.52817175258</v>
      </c>
      <c r="J33" s="58">
        <f t="shared" si="7"/>
        <v>10870.764194766298</v>
      </c>
      <c r="K33" s="58">
        <f t="shared" si="7"/>
        <v>11664.750684466915</v>
      </c>
    </row>
    <row r="34" spans="1:11" ht="15" customHeight="1" x14ac:dyDescent="0.25">
      <c r="A34" s="56" t="s">
        <v>124</v>
      </c>
      <c r="B34" s="57">
        <v>-72</v>
      </c>
      <c r="C34" s="57">
        <v>-71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</row>
    <row r="35" spans="1:11" ht="15" customHeight="1" thickBot="1" x14ac:dyDescent="0.35">
      <c r="A35" s="50" t="s">
        <v>125</v>
      </c>
      <c r="B35" s="63">
        <f t="shared" ref="B35:K35" si="8">B33+B34</f>
        <v>5007</v>
      </c>
      <c r="C35" s="63">
        <f t="shared" si="8"/>
        <v>5844</v>
      </c>
      <c r="D35" s="63">
        <f t="shared" si="8"/>
        <v>6292</v>
      </c>
      <c r="E35" s="63">
        <f t="shared" si="8"/>
        <v>7367</v>
      </c>
      <c r="F35" s="63">
        <f t="shared" si="8"/>
        <v>8099</v>
      </c>
      <c r="G35" s="63">
        <f t="shared" si="8"/>
        <v>8804.0805001692024</v>
      </c>
      <c r="H35" s="63">
        <f t="shared" si="8"/>
        <v>9402.9105524866482</v>
      </c>
      <c r="I35" s="63">
        <f t="shared" si="8"/>
        <v>10126.52817175258</v>
      </c>
      <c r="J35" s="63">
        <f t="shared" si="8"/>
        <v>10870.764194766298</v>
      </c>
      <c r="K35" s="63">
        <f t="shared" si="8"/>
        <v>11664.750684466915</v>
      </c>
    </row>
    <row r="36" spans="1:11" ht="15" customHeight="1" thickTop="1" x14ac:dyDescent="0.25">
      <c r="A36" s="56" t="s">
        <v>126</v>
      </c>
      <c r="B36" s="59">
        <f t="shared" ref="B36:K36" si="9">B35/B10</f>
        <v>2.5555175599324246E-2</v>
      </c>
      <c r="C36" s="59">
        <f t="shared" si="9"/>
        <v>2.5749711395260715E-2</v>
      </c>
      <c r="D36" s="59">
        <f t="shared" si="9"/>
        <v>2.5968880267448098E-2</v>
      </c>
      <c r="E36" s="59">
        <f t="shared" si="9"/>
        <v>2.8952301603832536E-2</v>
      </c>
      <c r="F36" s="59">
        <f t="shared" si="9"/>
        <v>2.9425763438516175E-2</v>
      </c>
      <c r="G36" s="59">
        <f t="shared" si="9"/>
        <v>2.9038681195280715E-2</v>
      </c>
      <c r="H36" s="59">
        <f t="shared" si="9"/>
        <v>2.9137760969922419E-2</v>
      </c>
      <c r="I36" s="59">
        <f t="shared" si="9"/>
        <v>2.9590814334024145E-2</v>
      </c>
      <c r="J36" s="59">
        <f t="shared" si="9"/>
        <v>2.998138474079147E-2</v>
      </c>
      <c r="K36" s="59">
        <f t="shared" si="9"/>
        <v>3.0477515279093852E-2</v>
      </c>
    </row>
    <row r="38" spans="1:11" ht="15" customHeight="1" x14ac:dyDescent="0.3">
      <c r="A38" s="49" t="s">
        <v>127</v>
      </c>
    </row>
    <row r="39" spans="1:11" ht="15" customHeight="1" x14ac:dyDescent="0.3">
      <c r="A39" s="56" t="s">
        <v>128</v>
      </c>
      <c r="B39" s="57">
        <v>444346</v>
      </c>
      <c r="C39" s="57">
        <v>444757</v>
      </c>
      <c r="D39" s="57">
        <v>444452</v>
      </c>
      <c r="E39" s="57">
        <v>445044</v>
      </c>
      <c r="F39" s="57">
        <v>444865</v>
      </c>
      <c r="G39" s="62">
        <v>444000</v>
      </c>
      <c r="H39" s="62">
        <v>442500</v>
      </c>
      <c r="I39" s="62">
        <v>441000</v>
      </c>
      <c r="J39" s="62">
        <v>439500</v>
      </c>
      <c r="K39" s="62">
        <v>438000</v>
      </c>
    </row>
    <row r="40" spans="1:11" ht="15" customHeight="1" x14ac:dyDescent="0.3">
      <c r="A40" s="50" t="s">
        <v>129</v>
      </c>
      <c r="B40" s="70">
        <f t="shared" ref="B40:K40" si="10">B35*1000/B39</f>
        <v>11.268245916470498</v>
      </c>
      <c r="C40" s="70">
        <f t="shared" si="10"/>
        <v>13.139759464156832</v>
      </c>
      <c r="D40" s="70">
        <f t="shared" si="10"/>
        <v>14.156759335091303</v>
      </c>
      <c r="E40" s="70">
        <f t="shared" si="10"/>
        <v>16.553419437179244</v>
      </c>
      <c r="F40" s="70">
        <f t="shared" si="10"/>
        <v>18.205523023838694</v>
      </c>
      <c r="G40" s="70">
        <f t="shared" si="10"/>
        <v>19.829010135516221</v>
      </c>
      <c r="H40" s="70">
        <f t="shared" si="10"/>
        <v>21.249515372851185</v>
      </c>
      <c r="I40" s="70">
        <f t="shared" si="10"/>
        <v>22.962648915538729</v>
      </c>
      <c r="J40" s="70">
        <f t="shared" si="10"/>
        <v>24.734389521652556</v>
      </c>
      <c r="K40" s="70">
        <f t="shared" si="10"/>
        <v>26.631850877778344</v>
      </c>
    </row>
    <row r="41" spans="1:11" ht="15" customHeight="1" x14ac:dyDescent="0.25">
      <c r="A41" s="56" t="s">
        <v>130</v>
      </c>
      <c r="C41" s="59">
        <f t="shared" ref="C41:K41" si="11">C40/B40-1</f>
        <v>0.16608738942684864</v>
      </c>
      <c r="D41" s="59">
        <f t="shared" si="11"/>
        <v>7.7398667282204459E-2</v>
      </c>
      <c r="E41" s="59">
        <f t="shared" si="11"/>
        <v>0.16929440173127608</v>
      </c>
      <c r="F41" s="59">
        <f t="shared" si="11"/>
        <v>9.9804369298393869E-2</v>
      </c>
      <c r="G41" s="59">
        <f t="shared" si="11"/>
        <v>8.9175527094261353E-2</v>
      </c>
      <c r="H41" s="59">
        <f t="shared" si="11"/>
        <v>7.1637728138060908E-2</v>
      </c>
      <c r="I41" s="59">
        <f t="shared" si="11"/>
        <v>8.0619887683475167E-2</v>
      </c>
      <c r="J41" s="59">
        <f t="shared" si="11"/>
        <v>7.7157500976069882E-2</v>
      </c>
      <c r="K41" s="59">
        <f t="shared" si="11"/>
        <v>7.6713490521556738E-2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zoomScaleNormal="100" workbookViewId="0">
      <pane xSplit="1" ySplit="6" topLeftCell="B27" activePane="bottomRight" state="frozen"/>
      <selection pane="topRight" activeCell="C1" sqref="C1"/>
      <selection pane="bottomLeft" activeCell="A7" sqref="A7"/>
      <selection pane="bottomRight" activeCell="A31" sqref="A31:XFD31"/>
    </sheetView>
  </sheetViews>
  <sheetFormatPr defaultColWidth="8.6328125" defaultRowHeight="12.5" x14ac:dyDescent="0.25"/>
  <cols>
    <col min="1" max="1" width="52" style="51" customWidth="1"/>
    <col min="2" max="11" width="12" style="51" customWidth="1"/>
    <col min="12" max="16384" width="8.6328125" style="51"/>
  </cols>
  <sheetData>
    <row r="1" spans="1:11" ht="17.25" customHeight="1" x14ac:dyDescent="0.3">
      <c r="A1" s="50" t="s">
        <v>131</v>
      </c>
    </row>
    <row r="2" spans="1:11" ht="15" customHeight="1" x14ac:dyDescent="0.3">
      <c r="A2" s="66" t="s">
        <v>132</v>
      </c>
    </row>
    <row r="3" spans="1:11" ht="15" customHeight="1" x14ac:dyDescent="0.3">
      <c r="A3" s="66" t="s">
        <v>66</v>
      </c>
    </row>
    <row r="5" spans="1:11" ht="15" customHeight="1" x14ac:dyDescent="0.3">
      <c r="A5" s="50" t="s">
        <v>68</v>
      </c>
      <c r="B5" s="65" t="s">
        <v>69</v>
      </c>
      <c r="C5" s="65" t="s">
        <v>70</v>
      </c>
      <c r="D5" s="65" t="s">
        <v>71</v>
      </c>
      <c r="E5" s="65" t="s">
        <v>72</v>
      </c>
      <c r="F5" s="65" t="s">
        <v>73</v>
      </c>
      <c r="G5" s="65" t="s">
        <v>74</v>
      </c>
      <c r="H5" s="65" t="s">
        <v>75</v>
      </c>
      <c r="I5" s="65" t="s">
        <v>76</v>
      </c>
      <c r="J5" s="65" t="s">
        <v>77</v>
      </c>
      <c r="K5" s="65" t="s">
        <v>78</v>
      </c>
    </row>
    <row r="6" spans="1:11" ht="15" customHeight="1" x14ac:dyDescent="0.3">
      <c r="A6" s="49" t="s">
        <v>133</v>
      </c>
    </row>
    <row r="7" spans="1:11" ht="15" customHeight="1" x14ac:dyDescent="0.25">
      <c r="A7" s="56" t="s">
        <v>134</v>
      </c>
      <c r="B7" s="68">
        <f>'Income Statement'!B35</f>
        <v>5007</v>
      </c>
      <c r="C7" s="68">
        <f>'Income Statement'!C35</f>
        <v>5844</v>
      </c>
      <c r="D7" s="68">
        <f>'Income Statement'!D35</f>
        <v>6292</v>
      </c>
      <c r="E7" s="68">
        <f>'Income Statement'!E35</f>
        <v>7367</v>
      </c>
      <c r="F7" s="68">
        <f>'Income Statement'!F35</f>
        <v>8099</v>
      </c>
      <c r="G7" s="68">
        <f>'Income Statement'!G35</f>
        <v>8804.0805001692024</v>
      </c>
      <c r="H7" s="68">
        <f>'Income Statement'!H35</f>
        <v>9402.9105524866482</v>
      </c>
      <c r="I7" s="68">
        <f>'Income Statement'!I35</f>
        <v>10126.52817175258</v>
      </c>
      <c r="J7" s="68">
        <f>'Income Statement'!J35</f>
        <v>10870.764194766298</v>
      </c>
      <c r="K7" s="68">
        <f>'Income Statement'!K35</f>
        <v>11664.750684466915</v>
      </c>
    </row>
    <row r="8" spans="1:11" ht="15" customHeight="1" x14ac:dyDescent="0.3">
      <c r="A8" s="56" t="s">
        <v>135</v>
      </c>
      <c r="B8" s="57">
        <v>1781</v>
      </c>
      <c r="C8" s="57">
        <v>1900</v>
      </c>
      <c r="D8" s="57">
        <v>2077</v>
      </c>
      <c r="E8" s="57">
        <v>2188</v>
      </c>
      <c r="F8" s="57">
        <v>2367</v>
      </c>
      <c r="G8" s="62">
        <v>2570</v>
      </c>
      <c r="H8" s="62">
        <v>2790</v>
      </c>
      <c r="I8" s="62">
        <v>3010</v>
      </c>
      <c r="J8" s="62">
        <v>3230</v>
      </c>
      <c r="K8" s="62">
        <v>3450</v>
      </c>
    </row>
    <row r="9" spans="1:11" ht="15" customHeight="1" x14ac:dyDescent="0.3">
      <c r="A9" s="56" t="s">
        <v>136</v>
      </c>
      <c r="B9" s="57">
        <v>530</v>
      </c>
      <c r="C9" s="57">
        <v>570</v>
      </c>
      <c r="D9" s="57">
        <v>620</v>
      </c>
      <c r="E9" s="57">
        <v>670</v>
      </c>
      <c r="F9" s="57">
        <v>720</v>
      </c>
      <c r="G9" s="62">
        <v>770</v>
      </c>
      <c r="H9" s="62">
        <v>820</v>
      </c>
      <c r="I9" s="62">
        <v>870</v>
      </c>
      <c r="J9" s="62">
        <v>920</v>
      </c>
      <c r="K9" s="62">
        <v>970</v>
      </c>
    </row>
    <row r="10" spans="1:11" ht="15" customHeight="1" x14ac:dyDescent="0.3">
      <c r="A10" s="56" t="s">
        <v>137</v>
      </c>
      <c r="B10" s="57">
        <v>420</v>
      </c>
      <c r="C10" s="57">
        <v>380</v>
      </c>
      <c r="D10" s="57">
        <v>-180</v>
      </c>
      <c r="E10" s="57">
        <v>310</v>
      </c>
      <c r="F10" s="57">
        <v>260</v>
      </c>
      <c r="G10" s="62">
        <v>200</v>
      </c>
      <c r="H10" s="62">
        <v>220</v>
      </c>
      <c r="I10" s="62">
        <v>240</v>
      </c>
      <c r="J10" s="62">
        <v>250</v>
      </c>
      <c r="K10" s="62">
        <v>260</v>
      </c>
    </row>
    <row r="11" spans="1:11" ht="15" customHeight="1" x14ac:dyDescent="0.3">
      <c r="A11" s="50" t="s">
        <v>138</v>
      </c>
      <c r="B11" s="61">
        <f>SUM(B7:B10)</f>
        <v>7738</v>
      </c>
      <c r="C11" s="61">
        <f>SUM(C7:C10)</f>
        <v>8694</v>
      </c>
      <c r="D11" s="61">
        <f>SUM(D7:D10)</f>
        <v>8809</v>
      </c>
      <c r="E11" s="71">
        <v>11339</v>
      </c>
      <c r="F11" s="71">
        <v>13335</v>
      </c>
      <c r="G11" s="61">
        <f>SUM(G7:G10)</f>
        <v>12344.080500169202</v>
      </c>
      <c r="H11" s="61">
        <f>SUM(H7:H10)</f>
        <v>13232.910552486648</v>
      </c>
      <c r="I11" s="61">
        <f>SUM(I7:I10)</f>
        <v>14246.52817175258</v>
      </c>
      <c r="J11" s="61">
        <f>SUM(J7:J10)</f>
        <v>15270.764194766298</v>
      </c>
      <c r="K11" s="61">
        <f>SUM(K7:K10)</f>
        <v>16344.750684466915</v>
      </c>
    </row>
    <row r="12" spans="1:11" ht="15" customHeight="1" x14ac:dyDescent="0.25">
      <c r="A12" s="56" t="s">
        <v>139</v>
      </c>
      <c r="B12" s="59">
        <f>B11/'Income Statement'!B10</f>
        <v>3.9493898299894352E-2</v>
      </c>
      <c r="C12" s="59">
        <f>C11/'Income Statement'!C10</f>
        <v>3.8307322188637347E-2</v>
      </c>
      <c r="D12" s="59">
        <f>D11/'Income Statement'!D10</f>
        <v>3.6357257831524208E-2</v>
      </c>
      <c r="E12" s="59">
        <f>E11/'Income Statement'!E10</f>
        <v>4.4562257076945451E-2</v>
      </c>
      <c r="F12" s="59">
        <f>F11/'Income Statement'!F10</f>
        <v>4.8449506785110903E-2</v>
      </c>
      <c r="G12" s="59">
        <f>G11/'Income Statement'!G10</f>
        <v>4.0714736568617897E-2</v>
      </c>
      <c r="H12" s="59">
        <f>H11/'Income Statement'!H10</f>
        <v>4.1006173829097207E-2</v>
      </c>
      <c r="I12" s="59">
        <f>I11/'Income Statement'!I10</f>
        <v>4.162990147113918E-2</v>
      </c>
      <c r="J12" s="59">
        <f>J11/'Income Statement'!J10</f>
        <v>4.2116510707647978E-2</v>
      </c>
      <c r="K12" s="59">
        <f>K11/'Income Statement'!K10</f>
        <v>4.2705360979739253E-2</v>
      </c>
    </row>
    <row r="14" spans="1:11" ht="15" customHeight="1" x14ac:dyDescent="0.3">
      <c r="A14" s="49" t="s">
        <v>140</v>
      </c>
    </row>
    <row r="15" spans="1:11" ht="15" customHeight="1" x14ac:dyDescent="0.3">
      <c r="A15" s="56" t="s">
        <v>141</v>
      </c>
      <c r="B15" s="57">
        <v>-3588</v>
      </c>
      <c r="C15" s="57">
        <v>-3891</v>
      </c>
      <c r="D15" s="57">
        <v>-4323</v>
      </c>
      <c r="E15" s="57">
        <v>-4409</v>
      </c>
      <c r="F15" s="57">
        <v>-5311</v>
      </c>
      <c r="G15" s="62">
        <v>-6250</v>
      </c>
      <c r="H15" s="62">
        <v>-6600</v>
      </c>
      <c r="I15" s="62">
        <v>-6900</v>
      </c>
      <c r="J15" s="62">
        <v>-7150</v>
      </c>
      <c r="K15" s="62">
        <v>-7400</v>
      </c>
    </row>
    <row r="16" spans="1:11" ht="15" customHeight="1" x14ac:dyDescent="0.3">
      <c r="A16" s="56" t="s">
        <v>142</v>
      </c>
      <c r="B16" s="57">
        <v>0</v>
      </c>
      <c r="C16" s="57">
        <v>0</v>
      </c>
      <c r="D16" s="57">
        <v>0</v>
      </c>
      <c r="E16" s="57">
        <v>0</v>
      </c>
      <c r="F16" s="57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</row>
    <row r="17" spans="1:11" ht="15" customHeight="1" x14ac:dyDescent="0.3">
      <c r="A17" s="50" t="s">
        <v>143</v>
      </c>
      <c r="B17" s="61">
        <f t="shared" ref="B17:K17" si="0">B15+B16</f>
        <v>-3588</v>
      </c>
      <c r="C17" s="61">
        <f t="shared" si="0"/>
        <v>-3891</v>
      </c>
      <c r="D17" s="61">
        <f t="shared" si="0"/>
        <v>-4323</v>
      </c>
      <c r="E17" s="61">
        <f t="shared" si="0"/>
        <v>-4409</v>
      </c>
      <c r="F17" s="61">
        <f t="shared" si="0"/>
        <v>-5311</v>
      </c>
      <c r="G17" s="61">
        <f t="shared" si="0"/>
        <v>-6250</v>
      </c>
      <c r="H17" s="61">
        <f t="shared" si="0"/>
        <v>-6600</v>
      </c>
      <c r="I17" s="61">
        <f t="shared" si="0"/>
        <v>-6900</v>
      </c>
      <c r="J17" s="61">
        <f t="shared" si="0"/>
        <v>-7150</v>
      </c>
      <c r="K17" s="61">
        <f t="shared" si="0"/>
        <v>-7400</v>
      </c>
    </row>
    <row r="19" spans="1:11" ht="15" customHeight="1" thickBot="1" x14ac:dyDescent="0.35">
      <c r="A19" s="50" t="s">
        <v>144</v>
      </c>
      <c r="B19" s="63">
        <f t="shared" ref="B19:K19" si="1">B11+B15</f>
        <v>4150</v>
      </c>
      <c r="C19" s="63">
        <f t="shared" si="1"/>
        <v>4803</v>
      </c>
      <c r="D19" s="63">
        <f t="shared" si="1"/>
        <v>4486</v>
      </c>
      <c r="E19" s="63">
        <f t="shared" si="1"/>
        <v>6930</v>
      </c>
      <c r="F19" s="63">
        <f t="shared" si="1"/>
        <v>8024</v>
      </c>
      <c r="G19" s="63">
        <f t="shared" si="1"/>
        <v>6094.0805001692024</v>
      </c>
      <c r="H19" s="63">
        <f t="shared" si="1"/>
        <v>6632.9105524866482</v>
      </c>
      <c r="I19" s="63">
        <f t="shared" si="1"/>
        <v>7346.5281717525795</v>
      </c>
      <c r="J19" s="63">
        <f t="shared" si="1"/>
        <v>8120.7641947662978</v>
      </c>
      <c r="K19" s="63">
        <f t="shared" si="1"/>
        <v>8944.7506844669151</v>
      </c>
    </row>
    <row r="20" spans="1:11" ht="15" customHeight="1" thickTop="1" x14ac:dyDescent="0.25">
      <c r="A20" s="56" t="s">
        <v>145</v>
      </c>
      <c r="B20" s="59">
        <f>B19/'Income Statement'!B10</f>
        <v>2.1181142148431319E-2</v>
      </c>
      <c r="C20" s="59">
        <f>C19/'Income Statement'!C10</f>
        <v>2.1162878821258932E-2</v>
      </c>
      <c r="D20" s="59">
        <f>D19/'Income Statement'!D10</f>
        <v>1.8515002682735565E-2</v>
      </c>
      <c r="E20" s="59">
        <f>E19/'Income Statement'!E10</f>
        <v>2.7234892101881292E-2</v>
      </c>
      <c r="F20" s="59">
        <f>F19/'Income Statement'!F10</f>
        <v>2.9153269024651662E-2</v>
      </c>
      <c r="G20" s="59">
        <f>G19/'Income Statement'!G10</f>
        <v>2.0100232025296601E-2</v>
      </c>
      <c r="H20" s="59">
        <f>H19/'Income Statement'!H10</f>
        <v>2.0554078562634123E-2</v>
      </c>
      <c r="I20" s="59">
        <f>I19/'Income Statement'!I10</f>
        <v>2.1467352624999925E-2</v>
      </c>
      <c r="J20" s="59">
        <f>J19/'Income Statement'!J10</f>
        <v>2.2396931011506152E-2</v>
      </c>
      <c r="K20" s="59">
        <f>K19/'Income Statement'!K10</f>
        <v>2.3370733162479434E-2</v>
      </c>
    </row>
    <row r="22" spans="1:11" ht="15" customHeight="1" x14ac:dyDescent="0.3">
      <c r="A22" s="49" t="s">
        <v>146</v>
      </c>
    </row>
    <row r="23" spans="1:11" ht="15" customHeight="1" x14ac:dyDescent="0.3">
      <c r="A23" s="56" t="s">
        <v>147</v>
      </c>
      <c r="B23" s="57">
        <v>-800</v>
      </c>
      <c r="C23" s="57">
        <v>-700</v>
      </c>
      <c r="D23" s="57">
        <v>-700</v>
      </c>
      <c r="E23" s="57">
        <v>-1077</v>
      </c>
      <c r="F23" s="57">
        <v>-103</v>
      </c>
      <c r="G23" s="62">
        <v>-100</v>
      </c>
      <c r="H23" s="62">
        <v>-100</v>
      </c>
      <c r="I23" s="62">
        <v>-100</v>
      </c>
      <c r="J23" s="62">
        <v>-100</v>
      </c>
      <c r="K23" s="62">
        <v>-100</v>
      </c>
    </row>
    <row r="24" spans="1:11" ht="15" customHeight="1" x14ac:dyDescent="0.3">
      <c r="A24" s="56" t="s">
        <v>148</v>
      </c>
      <c r="B24" s="57">
        <v>-250</v>
      </c>
      <c r="C24" s="57">
        <v>-250</v>
      </c>
      <c r="D24" s="57">
        <v>-250</v>
      </c>
      <c r="E24" s="57">
        <v>-350</v>
      </c>
      <c r="F24" s="57">
        <v>-903</v>
      </c>
      <c r="G24" s="62">
        <v>-900</v>
      </c>
      <c r="H24" s="62">
        <v>-900</v>
      </c>
      <c r="I24" s="62">
        <v>-900</v>
      </c>
      <c r="J24" s="62">
        <v>-900</v>
      </c>
      <c r="K24" s="62">
        <v>-900</v>
      </c>
    </row>
    <row r="25" spans="1:11" ht="15" customHeight="1" x14ac:dyDescent="0.3">
      <c r="A25" s="56" t="s">
        <v>149</v>
      </c>
      <c r="B25" s="57">
        <v>-1440</v>
      </c>
      <c r="C25" s="57">
        <v>-1622</v>
      </c>
      <c r="D25" s="57">
        <v>-1877</v>
      </c>
      <c r="E25" s="57">
        <v>-8589</v>
      </c>
      <c r="F25" s="57">
        <v>-2183</v>
      </c>
      <c r="G25" s="62">
        <v>-2450</v>
      </c>
      <c r="H25" s="62">
        <v>-2650</v>
      </c>
      <c r="I25" s="62">
        <v>-2850</v>
      </c>
      <c r="J25" s="62">
        <v>-3050</v>
      </c>
      <c r="K25" s="62">
        <v>-3250</v>
      </c>
    </row>
    <row r="26" spans="1:11" ht="15" customHeight="1" x14ac:dyDescent="0.3">
      <c r="A26" s="56" t="s">
        <v>150</v>
      </c>
      <c r="B26" s="57">
        <v>-120</v>
      </c>
      <c r="C26" s="57">
        <v>-120</v>
      </c>
      <c r="D26" s="57">
        <v>-120</v>
      </c>
      <c r="E26" s="57">
        <v>-120</v>
      </c>
      <c r="F26" s="57">
        <v>-120</v>
      </c>
      <c r="G26" s="62">
        <v>-130</v>
      </c>
      <c r="H26" s="62">
        <v>-130</v>
      </c>
      <c r="I26" s="62">
        <v>-130</v>
      </c>
      <c r="J26" s="62">
        <v>-130</v>
      </c>
      <c r="K26" s="62">
        <v>-130</v>
      </c>
    </row>
    <row r="27" spans="1:11" ht="15" customHeight="1" x14ac:dyDescent="0.3">
      <c r="A27" s="50" t="s">
        <v>151</v>
      </c>
      <c r="B27" s="61">
        <f t="shared" ref="B27:K27" si="2">SUM(B23:B26)</f>
        <v>-2610</v>
      </c>
      <c r="C27" s="61">
        <f t="shared" si="2"/>
        <v>-2692</v>
      </c>
      <c r="D27" s="61">
        <f t="shared" si="2"/>
        <v>-2947</v>
      </c>
      <c r="E27" s="61">
        <f t="shared" si="2"/>
        <v>-10136</v>
      </c>
      <c r="F27" s="61">
        <f t="shared" si="2"/>
        <v>-3309</v>
      </c>
      <c r="G27" s="61">
        <f t="shared" si="2"/>
        <v>-3580</v>
      </c>
      <c r="H27" s="61">
        <f t="shared" si="2"/>
        <v>-3780</v>
      </c>
      <c r="I27" s="61">
        <f t="shared" si="2"/>
        <v>-3980</v>
      </c>
      <c r="J27" s="61">
        <f t="shared" si="2"/>
        <v>-4180</v>
      </c>
      <c r="K27" s="61">
        <f t="shared" si="2"/>
        <v>-4380</v>
      </c>
    </row>
    <row r="29" spans="1:11" ht="15" customHeight="1" thickBot="1" x14ac:dyDescent="0.35">
      <c r="A29" s="50" t="s">
        <v>152</v>
      </c>
      <c r="B29" s="72">
        <f t="shared" ref="B29:K29" si="3">B11+B17+B27</f>
        <v>1540</v>
      </c>
      <c r="C29" s="72">
        <f t="shared" si="3"/>
        <v>2111</v>
      </c>
      <c r="D29" s="72">
        <f t="shared" si="3"/>
        <v>1539</v>
      </c>
      <c r="E29" s="72">
        <f t="shared" si="3"/>
        <v>-3206</v>
      </c>
      <c r="F29" s="72">
        <f t="shared" si="3"/>
        <v>4715</v>
      </c>
      <c r="G29" s="72">
        <f t="shared" si="3"/>
        <v>2514.0805001692024</v>
      </c>
      <c r="H29" s="72">
        <f t="shared" si="3"/>
        <v>2852.9105524866482</v>
      </c>
      <c r="I29" s="72">
        <f t="shared" si="3"/>
        <v>3366.5281717525795</v>
      </c>
      <c r="J29" s="72">
        <f t="shared" si="3"/>
        <v>3940.7641947662978</v>
      </c>
      <c r="K29" s="72">
        <f t="shared" si="3"/>
        <v>4564.7506844669151</v>
      </c>
    </row>
    <row r="30" spans="1:11" ht="13" thickTop="1" x14ac:dyDescent="0.25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zoomScaleNormal="10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A11" sqref="A11"/>
    </sheetView>
  </sheetViews>
  <sheetFormatPr defaultColWidth="8.6328125" defaultRowHeight="12.5" x14ac:dyDescent="0.25"/>
  <cols>
    <col min="1" max="1" width="52" style="51" customWidth="1"/>
    <col min="2" max="11" width="12" style="51" customWidth="1"/>
    <col min="12" max="16384" width="8.6328125" style="51"/>
  </cols>
  <sheetData>
    <row r="1" spans="1:11" ht="17.25" customHeight="1" x14ac:dyDescent="0.3">
      <c r="A1" s="50" t="s">
        <v>153</v>
      </c>
    </row>
    <row r="2" spans="1:11" ht="15" customHeight="1" x14ac:dyDescent="0.3">
      <c r="A2" s="66" t="s">
        <v>154</v>
      </c>
    </row>
    <row r="3" spans="1:11" ht="15" customHeight="1" x14ac:dyDescent="0.3">
      <c r="A3" s="66" t="s">
        <v>66</v>
      </c>
    </row>
    <row r="5" spans="1:11" ht="15" customHeight="1" x14ac:dyDescent="0.3">
      <c r="A5" s="50" t="s">
        <v>68</v>
      </c>
      <c r="B5" s="65" t="s">
        <v>69</v>
      </c>
      <c r="C5" s="65" t="s">
        <v>70</v>
      </c>
      <c r="D5" s="65" t="s">
        <v>71</v>
      </c>
      <c r="E5" s="65" t="s">
        <v>72</v>
      </c>
      <c r="F5" s="65" t="s">
        <v>73</v>
      </c>
      <c r="G5" s="65" t="s">
        <v>74</v>
      </c>
      <c r="H5" s="65" t="s">
        <v>75</v>
      </c>
      <c r="I5" s="65" t="s">
        <v>76</v>
      </c>
      <c r="J5" s="65" t="s">
        <v>77</v>
      </c>
      <c r="K5" s="65" t="s">
        <v>78</v>
      </c>
    </row>
    <row r="6" spans="1:11" ht="15" customHeight="1" x14ac:dyDescent="0.3">
      <c r="A6" s="49" t="s">
        <v>155</v>
      </c>
    </row>
    <row r="7" spans="1:11" ht="15" customHeight="1" x14ac:dyDescent="0.3">
      <c r="A7" s="50" t="s">
        <v>156</v>
      </c>
    </row>
    <row r="8" spans="1:11" ht="15" customHeight="1" x14ac:dyDescent="0.25">
      <c r="A8" s="56" t="s">
        <v>157</v>
      </c>
      <c r="B8" s="58">
        <f t="shared" ref="B8:K8" si="0">B28+B31-(B9+B10+B11+B14+B15)</f>
        <v>12175</v>
      </c>
      <c r="C8" s="58">
        <f t="shared" si="0"/>
        <v>11049</v>
      </c>
      <c r="D8" s="58">
        <f t="shared" si="0"/>
        <v>15234</v>
      </c>
      <c r="E8" s="58">
        <f t="shared" si="0"/>
        <v>7945</v>
      </c>
      <c r="F8" s="58">
        <f t="shared" si="0"/>
        <v>11754</v>
      </c>
      <c r="G8" s="58">
        <f t="shared" si="0"/>
        <v>14176.080500169206</v>
      </c>
      <c r="H8" s="58">
        <f t="shared" si="0"/>
        <v>16748.991052655852</v>
      </c>
      <c r="I8" s="58">
        <f t="shared" si="0"/>
        <v>19755.519224408432</v>
      </c>
      <c r="J8" s="58">
        <f t="shared" si="0"/>
        <v>23266.283419174724</v>
      </c>
      <c r="K8" s="58">
        <f t="shared" si="0"/>
        <v>27341.03410364165</v>
      </c>
    </row>
    <row r="9" spans="1:11" ht="15" customHeight="1" x14ac:dyDescent="0.3">
      <c r="A9" s="56" t="s">
        <v>158</v>
      </c>
      <c r="B9" s="57">
        <v>1803</v>
      </c>
      <c r="C9" s="57">
        <v>2241</v>
      </c>
      <c r="D9" s="57">
        <v>2285</v>
      </c>
      <c r="E9" s="57">
        <v>2519</v>
      </c>
      <c r="F9" s="57">
        <v>2670</v>
      </c>
      <c r="G9" s="62">
        <v>2850</v>
      </c>
      <c r="H9" s="62">
        <v>3020</v>
      </c>
      <c r="I9" s="62">
        <v>3200</v>
      </c>
      <c r="J9" s="62">
        <v>3390</v>
      </c>
      <c r="K9" s="62">
        <v>3580</v>
      </c>
    </row>
    <row r="10" spans="1:11" ht="15" customHeight="1" x14ac:dyDescent="0.3">
      <c r="A10" s="56" t="s">
        <v>159</v>
      </c>
      <c r="B10" s="57">
        <v>14215</v>
      </c>
      <c r="C10" s="57">
        <v>17907</v>
      </c>
      <c r="D10" s="57">
        <v>16651</v>
      </c>
      <c r="E10" s="57">
        <v>18647</v>
      </c>
      <c r="F10" s="57">
        <v>18120</v>
      </c>
      <c r="G10" s="62">
        <v>19400</v>
      </c>
      <c r="H10" s="62">
        <v>20500</v>
      </c>
      <c r="I10" s="62">
        <v>21600</v>
      </c>
      <c r="J10" s="62">
        <v>22700</v>
      </c>
      <c r="K10" s="62">
        <v>23800</v>
      </c>
    </row>
    <row r="11" spans="1:11" ht="15" customHeight="1" x14ac:dyDescent="0.3">
      <c r="A11" s="56" t="s">
        <v>160</v>
      </c>
      <c r="B11" s="57">
        <v>1312</v>
      </c>
      <c r="C11" s="57">
        <v>1499</v>
      </c>
      <c r="D11" s="57">
        <v>1709</v>
      </c>
      <c r="E11" s="57">
        <v>1750</v>
      </c>
      <c r="F11" s="57">
        <v>1780</v>
      </c>
      <c r="G11" s="62">
        <v>1900</v>
      </c>
      <c r="H11" s="62">
        <v>2000</v>
      </c>
      <c r="I11" s="62">
        <v>2100</v>
      </c>
      <c r="J11" s="62">
        <v>2200</v>
      </c>
      <c r="K11" s="62">
        <v>2300</v>
      </c>
    </row>
    <row r="12" spans="1:11" ht="15" customHeight="1" x14ac:dyDescent="0.3">
      <c r="A12" s="50" t="s">
        <v>161</v>
      </c>
      <c r="B12" s="61">
        <f t="shared" ref="B12:K12" si="1">SUM(B8:B11)</f>
        <v>29505</v>
      </c>
      <c r="C12" s="61">
        <f t="shared" si="1"/>
        <v>32696</v>
      </c>
      <c r="D12" s="61">
        <f t="shared" si="1"/>
        <v>35879</v>
      </c>
      <c r="E12" s="61">
        <f t="shared" si="1"/>
        <v>30861</v>
      </c>
      <c r="F12" s="61">
        <f t="shared" si="1"/>
        <v>34324</v>
      </c>
      <c r="G12" s="61">
        <f t="shared" si="1"/>
        <v>38326.080500169206</v>
      </c>
      <c r="H12" s="61">
        <f t="shared" si="1"/>
        <v>42268.991052655852</v>
      </c>
      <c r="I12" s="61">
        <f t="shared" si="1"/>
        <v>46655.519224408432</v>
      </c>
      <c r="J12" s="61">
        <f t="shared" si="1"/>
        <v>51556.283419174724</v>
      </c>
      <c r="K12" s="61">
        <f t="shared" si="1"/>
        <v>57021.03410364165</v>
      </c>
    </row>
    <row r="14" spans="1:11" ht="15" customHeight="1" x14ac:dyDescent="0.25">
      <c r="A14" s="56" t="s">
        <v>162</v>
      </c>
      <c r="B14" s="57">
        <v>23492</v>
      </c>
      <c r="C14" s="57">
        <v>24646</v>
      </c>
      <c r="D14" s="57">
        <v>26684</v>
      </c>
      <c r="E14" s="57">
        <v>29294</v>
      </c>
      <c r="F14" s="57">
        <v>31908</v>
      </c>
      <c r="G14" s="68">
        <f>F14-'Cash Flow Statement'!G15-'Cash Flow Statement'!G8</f>
        <v>35588</v>
      </c>
      <c r="H14" s="68">
        <f>G14-'Cash Flow Statement'!H15-'Cash Flow Statement'!H8</f>
        <v>39398</v>
      </c>
      <c r="I14" s="68">
        <f>H14-'Cash Flow Statement'!I15-'Cash Flow Statement'!I8</f>
        <v>43288</v>
      </c>
      <c r="J14" s="68">
        <f>I14-'Cash Flow Statement'!J15-'Cash Flow Statement'!J8</f>
        <v>47208</v>
      </c>
      <c r="K14" s="68">
        <f>J14-'Cash Flow Statement'!K15-'Cash Flow Statement'!K8</f>
        <v>51158</v>
      </c>
    </row>
    <row r="15" spans="1:11" ht="15" customHeight="1" x14ac:dyDescent="0.3">
      <c r="A15" s="56" t="s">
        <v>163</v>
      </c>
      <c r="B15" s="57">
        <v>6271</v>
      </c>
      <c r="C15" s="57">
        <v>6824</v>
      </c>
      <c r="D15" s="57">
        <v>6431</v>
      </c>
      <c r="E15" s="57">
        <v>8895</v>
      </c>
      <c r="F15" s="57">
        <v>10188</v>
      </c>
      <c r="G15" s="62">
        <v>10800</v>
      </c>
      <c r="H15" s="62">
        <v>11400</v>
      </c>
      <c r="I15" s="62">
        <v>12000</v>
      </c>
      <c r="J15" s="62">
        <v>12600</v>
      </c>
      <c r="K15" s="62">
        <v>13200</v>
      </c>
    </row>
    <row r="16" spans="1:11" ht="15" customHeight="1" thickBot="1" x14ac:dyDescent="0.35">
      <c r="A16" s="50" t="s">
        <v>164</v>
      </c>
      <c r="B16" s="63">
        <f t="shared" ref="B16:K16" si="2">B12+B14+B15</f>
        <v>59268</v>
      </c>
      <c r="C16" s="63">
        <f t="shared" si="2"/>
        <v>64166</v>
      </c>
      <c r="D16" s="63">
        <f t="shared" si="2"/>
        <v>68994</v>
      </c>
      <c r="E16" s="63">
        <f t="shared" si="2"/>
        <v>69050</v>
      </c>
      <c r="F16" s="63">
        <f t="shared" si="2"/>
        <v>76420</v>
      </c>
      <c r="G16" s="63">
        <f t="shared" si="2"/>
        <v>84714.080500169206</v>
      </c>
      <c r="H16" s="63">
        <f t="shared" si="2"/>
        <v>93066.991052655852</v>
      </c>
      <c r="I16" s="63">
        <f t="shared" si="2"/>
        <v>101943.51922440843</v>
      </c>
      <c r="J16" s="63">
        <f t="shared" si="2"/>
        <v>111364.28341917472</v>
      </c>
      <c r="K16" s="63">
        <f t="shared" si="2"/>
        <v>121379.03410364165</v>
      </c>
    </row>
    <row r="17" spans="1:11" ht="15" customHeight="1" thickTop="1" x14ac:dyDescent="0.25">
      <c r="A17" s="56" t="s">
        <v>165</v>
      </c>
      <c r="B17" s="57">
        <v>64166</v>
      </c>
      <c r="C17" s="57">
        <v>64166</v>
      </c>
      <c r="D17" s="57">
        <v>68994</v>
      </c>
      <c r="E17" s="57">
        <v>69830</v>
      </c>
      <c r="F17" s="57">
        <v>77100</v>
      </c>
    </row>
    <row r="19" spans="1:11" ht="15" customHeight="1" x14ac:dyDescent="0.3">
      <c r="A19" s="49" t="s">
        <v>166</v>
      </c>
    </row>
    <row r="20" spans="1:11" ht="15" customHeight="1" x14ac:dyDescent="0.3">
      <c r="A20" s="50" t="s">
        <v>167</v>
      </c>
    </row>
    <row r="21" spans="1:11" ht="15" customHeight="1" x14ac:dyDescent="0.3">
      <c r="A21" s="56" t="s">
        <v>168</v>
      </c>
      <c r="B21" s="57">
        <v>16278</v>
      </c>
      <c r="C21" s="57">
        <v>17848</v>
      </c>
      <c r="D21" s="57">
        <v>17483</v>
      </c>
      <c r="E21" s="57">
        <v>18500</v>
      </c>
      <c r="F21" s="57">
        <v>19700</v>
      </c>
      <c r="G21" s="62">
        <v>21000</v>
      </c>
      <c r="H21" s="62">
        <v>22300</v>
      </c>
      <c r="I21" s="62">
        <v>23600</v>
      </c>
      <c r="J21" s="62">
        <v>24900</v>
      </c>
      <c r="K21" s="62">
        <v>26200</v>
      </c>
    </row>
    <row r="22" spans="1:11" ht="15" customHeight="1" x14ac:dyDescent="0.3">
      <c r="A22" s="56" t="s">
        <v>169</v>
      </c>
      <c r="B22" s="57">
        <v>12364</v>
      </c>
      <c r="C22" s="57">
        <v>14077</v>
      </c>
      <c r="D22" s="57">
        <v>15019</v>
      </c>
      <c r="E22" s="57">
        <v>15800</v>
      </c>
      <c r="F22" s="57">
        <v>16600</v>
      </c>
      <c r="G22" s="62">
        <v>17600</v>
      </c>
      <c r="H22" s="62">
        <v>18700</v>
      </c>
      <c r="I22" s="62">
        <v>19800</v>
      </c>
      <c r="J22" s="62">
        <v>20900</v>
      </c>
      <c r="K22" s="62">
        <v>22000</v>
      </c>
    </row>
    <row r="23" spans="1:11" ht="15" customHeight="1" x14ac:dyDescent="0.3">
      <c r="A23" s="56" t="s">
        <v>170</v>
      </c>
      <c r="B23" s="57">
        <v>799</v>
      </c>
      <c r="C23" s="57">
        <v>73</v>
      </c>
      <c r="D23" s="57">
        <v>1081</v>
      </c>
      <c r="E23" s="57">
        <v>130</v>
      </c>
      <c r="F23" s="57">
        <v>60</v>
      </c>
      <c r="G23" s="62">
        <v>500</v>
      </c>
      <c r="H23" s="62">
        <v>500</v>
      </c>
      <c r="I23" s="62">
        <v>500</v>
      </c>
      <c r="J23" s="62">
        <v>500</v>
      </c>
      <c r="K23" s="62">
        <v>500</v>
      </c>
    </row>
    <row r="24" spans="1:11" ht="15" customHeight="1" x14ac:dyDescent="0.3">
      <c r="A24" s="50" t="s">
        <v>171</v>
      </c>
      <c r="B24" s="61">
        <f t="shared" ref="B24:K24" si="3">SUM(B21:B23)</f>
        <v>29441</v>
      </c>
      <c r="C24" s="61">
        <f t="shared" si="3"/>
        <v>31998</v>
      </c>
      <c r="D24" s="61">
        <f t="shared" si="3"/>
        <v>33583</v>
      </c>
      <c r="E24" s="61">
        <f t="shared" si="3"/>
        <v>34430</v>
      </c>
      <c r="F24" s="61">
        <f t="shared" si="3"/>
        <v>36360</v>
      </c>
      <c r="G24" s="61">
        <f t="shared" si="3"/>
        <v>39100</v>
      </c>
      <c r="H24" s="61">
        <f t="shared" si="3"/>
        <v>41500</v>
      </c>
      <c r="I24" s="61">
        <f t="shared" si="3"/>
        <v>43900</v>
      </c>
      <c r="J24" s="61">
        <f t="shared" si="3"/>
        <v>46300</v>
      </c>
      <c r="K24" s="61">
        <f t="shared" si="3"/>
        <v>48700</v>
      </c>
    </row>
    <row r="26" spans="1:11" ht="15" customHeight="1" x14ac:dyDescent="0.25">
      <c r="A26" s="56" t="s">
        <v>172</v>
      </c>
      <c r="B26" s="57">
        <v>6692</v>
      </c>
      <c r="C26" s="57">
        <v>6484</v>
      </c>
      <c r="D26" s="57">
        <v>5377</v>
      </c>
      <c r="E26" s="57">
        <v>5800</v>
      </c>
      <c r="F26" s="57">
        <v>5500</v>
      </c>
      <c r="G26" s="68">
        <f>F26+'Cash Flow Statement'!G23</f>
        <v>5400</v>
      </c>
      <c r="H26" s="68">
        <f>G26+'Cash Flow Statement'!H23</f>
        <v>5300</v>
      </c>
      <c r="I26" s="68">
        <f>H26+'Cash Flow Statement'!I23</f>
        <v>5200</v>
      </c>
      <c r="J26" s="68">
        <f>I26+'Cash Flow Statement'!J23</f>
        <v>5100</v>
      </c>
      <c r="K26" s="68">
        <f>J26+'Cash Flow Statement'!K23</f>
        <v>5000</v>
      </c>
    </row>
    <row r="27" spans="1:11" ht="15" customHeight="1" x14ac:dyDescent="0.3">
      <c r="A27" s="56" t="s">
        <v>173</v>
      </c>
      <c r="B27" s="57">
        <v>5057</v>
      </c>
      <c r="C27" s="57">
        <v>5037</v>
      </c>
      <c r="D27" s="57">
        <v>4976</v>
      </c>
      <c r="E27" s="57">
        <v>5200</v>
      </c>
      <c r="F27" s="57">
        <v>5400</v>
      </c>
      <c r="G27" s="62">
        <v>5600</v>
      </c>
      <c r="H27" s="62">
        <v>5800</v>
      </c>
      <c r="I27" s="62">
        <v>6000</v>
      </c>
      <c r="J27" s="62">
        <v>6200</v>
      </c>
      <c r="K27" s="62">
        <v>6400</v>
      </c>
    </row>
    <row r="28" spans="1:11" ht="15" customHeight="1" x14ac:dyDescent="0.3">
      <c r="A28" s="50" t="s">
        <v>174</v>
      </c>
      <c r="B28" s="61">
        <f t="shared" ref="B28:K28" si="4">B24+B26+B27</f>
        <v>41190</v>
      </c>
      <c r="C28" s="61">
        <f t="shared" si="4"/>
        <v>43519</v>
      </c>
      <c r="D28" s="61">
        <f t="shared" si="4"/>
        <v>43936</v>
      </c>
      <c r="E28" s="61">
        <f t="shared" si="4"/>
        <v>45430</v>
      </c>
      <c r="F28" s="61">
        <f t="shared" si="4"/>
        <v>47260</v>
      </c>
      <c r="G28" s="61">
        <f t="shared" si="4"/>
        <v>50100</v>
      </c>
      <c r="H28" s="61">
        <f t="shared" si="4"/>
        <v>52600</v>
      </c>
      <c r="I28" s="61">
        <f t="shared" si="4"/>
        <v>55100</v>
      </c>
      <c r="J28" s="61">
        <f t="shared" si="4"/>
        <v>57600</v>
      </c>
      <c r="K28" s="61">
        <f t="shared" si="4"/>
        <v>60100</v>
      </c>
    </row>
    <row r="30" spans="1:11" ht="15" customHeight="1" x14ac:dyDescent="0.3">
      <c r="A30" s="49" t="s">
        <v>175</v>
      </c>
    </row>
    <row r="31" spans="1:11" ht="15" customHeight="1" x14ac:dyDescent="0.25">
      <c r="A31" s="56" t="s">
        <v>176</v>
      </c>
      <c r="B31" s="57">
        <v>18078</v>
      </c>
      <c r="C31" s="57">
        <v>20647</v>
      </c>
      <c r="D31" s="57">
        <v>25058</v>
      </c>
      <c r="E31" s="57">
        <v>23620</v>
      </c>
      <c r="F31" s="57">
        <v>29160</v>
      </c>
      <c r="G31" s="68">
        <f>F31+'Income Statement'!G35+'Cash Flow Statement'!G25+'Cash Flow Statement'!G24</f>
        <v>34614.080500169206</v>
      </c>
      <c r="H31" s="68">
        <f>G31+'Income Statement'!H35+'Cash Flow Statement'!H25+'Cash Flow Statement'!H24</f>
        <v>40466.991052655852</v>
      </c>
      <c r="I31" s="68">
        <f>H31+'Income Statement'!I35+'Cash Flow Statement'!I25+'Cash Flow Statement'!I24</f>
        <v>46843.519224408432</v>
      </c>
      <c r="J31" s="68">
        <f>I31+'Income Statement'!J35+'Cash Flow Statement'!J25+'Cash Flow Statement'!J24</f>
        <v>53764.283419174732</v>
      </c>
      <c r="K31" s="68">
        <f>J31+'Income Statement'!K35+'Cash Flow Statement'!K25+'Cash Flow Statement'!K24</f>
        <v>61279.03410364165</v>
      </c>
    </row>
    <row r="32" spans="1:11" ht="15" customHeight="1" thickBot="1" x14ac:dyDescent="0.35">
      <c r="A32" s="50" t="s">
        <v>177</v>
      </c>
      <c r="B32" s="63">
        <f t="shared" ref="B32:K32" si="5">B28+B31</f>
        <v>59268</v>
      </c>
      <c r="C32" s="63">
        <f t="shared" si="5"/>
        <v>64166</v>
      </c>
      <c r="D32" s="63">
        <f t="shared" si="5"/>
        <v>68994</v>
      </c>
      <c r="E32" s="63">
        <f t="shared" si="5"/>
        <v>69050</v>
      </c>
      <c r="F32" s="63">
        <f t="shared" si="5"/>
        <v>76420</v>
      </c>
      <c r="G32" s="63">
        <f t="shared" si="5"/>
        <v>84714.080500169206</v>
      </c>
      <c r="H32" s="63">
        <f t="shared" si="5"/>
        <v>93066.991052655852</v>
      </c>
      <c r="I32" s="63">
        <f t="shared" si="5"/>
        <v>101943.51922440843</v>
      </c>
      <c r="J32" s="63">
        <f t="shared" si="5"/>
        <v>111364.28341917472</v>
      </c>
      <c r="K32" s="63">
        <f t="shared" si="5"/>
        <v>121379.03410364165</v>
      </c>
    </row>
    <row r="33" spans="1:11" ht="15" customHeight="1" thickTop="1" x14ac:dyDescent="0.3">
      <c r="A33" s="50" t="s">
        <v>178</v>
      </c>
      <c r="B33" s="73">
        <f t="shared" ref="B33:K33" si="6">B16-B32</f>
        <v>0</v>
      </c>
      <c r="C33" s="73">
        <f t="shared" si="6"/>
        <v>0</v>
      </c>
      <c r="D33" s="73">
        <f t="shared" si="6"/>
        <v>0</v>
      </c>
      <c r="E33" s="73">
        <f t="shared" si="6"/>
        <v>0</v>
      </c>
      <c r="F33" s="73">
        <f t="shared" si="6"/>
        <v>0</v>
      </c>
      <c r="G33" s="73">
        <f t="shared" si="6"/>
        <v>0</v>
      </c>
      <c r="H33" s="73">
        <f t="shared" si="6"/>
        <v>0</v>
      </c>
      <c r="I33" s="73">
        <f t="shared" si="6"/>
        <v>0</v>
      </c>
      <c r="J33" s="73">
        <f t="shared" si="6"/>
        <v>0</v>
      </c>
      <c r="K33" s="73">
        <f t="shared" si="6"/>
        <v>0</v>
      </c>
    </row>
    <row r="34" spans="1:11" ht="15" customHeight="1" x14ac:dyDescent="0.25">
      <c r="A34" s="56" t="s">
        <v>179</v>
      </c>
      <c r="B34" s="57">
        <v>12175</v>
      </c>
      <c r="C34" s="57">
        <v>11049</v>
      </c>
      <c r="D34" s="57">
        <v>15234</v>
      </c>
      <c r="E34" s="57">
        <v>11144</v>
      </c>
      <c r="F34" s="57">
        <v>15284</v>
      </c>
    </row>
    <row r="35" spans="1:11" ht="15" customHeight="1" x14ac:dyDescent="0.25">
      <c r="A35" s="56" t="s">
        <v>180</v>
      </c>
      <c r="B35" s="58">
        <f>B8-B34</f>
        <v>0</v>
      </c>
      <c r="C35" s="58">
        <f>C8-C34</f>
        <v>0</v>
      </c>
      <c r="D35" s="58">
        <f>D8-D34</f>
        <v>0</v>
      </c>
      <c r="E35" s="58">
        <f>E8-E34</f>
        <v>-3199</v>
      </c>
      <c r="F35" s="58">
        <f>F8-F34</f>
        <v>-3530</v>
      </c>
    </row>
    <row r="37" spans="1:11" ht="15" customHeight="1" x14ac:dyDescent="0.3">
      <c r="A37" s="49" t="s">
        <v>181</v>
      </c>
    </row>
    <row r="38" spans="1:11" ht="15" customHeight="1" x14ac:dyDescent="0.25">
      <c r="A38" s="56" t="s">
        <v>182</v>
      </c>
      <c r="B38" s="74">
        <f t="shared" ref="B38:K38" si="7">B12/B24</f>
        <v>1.0021738392038313</v>
      </c>
      <c r="C38" s="74">
        <f t="shared" si="7"/>
        <v>1.0218138633664604</v>
      </c>
      <c r="D38" s="74">
        <f t="shared" si="7"/>
        <v>1.0683679242473871</v>
      </c>
      <c r="E38" s="74">
        <f t="shared" si="7"/>
        <v>0.89634040081324429</v>
      </c>
      <c r="F38" s="74">
        <f t="shared" si="7"/>
        <v>0.94400440044004397</v>
      </c>
      <c r="G38" s="74">
        <f t="shared" si="7"/>
        <v>0.98020666240841958</v>
      </c>
      <c r="H38" s="74">
        <f t="shared" si="7"/>
        <v>1.0185299048832737</v>
      </c>
      <c r="I38" s="74">
        <f t="shared" si="7"/>
        <v>1.0627680916721738</v>
      </c>
      <c r="J38" s="74">
        <f t="shared" si="7"/>
        <v>1.1135266397229961</v>
      </c>
      <c r="K38" s="74">
        <f t="shared" si="7"/>
        <v>1.1708631232780626</v>
      </c>
    </row>
    <row r="39" spans="1:11" ht="15" customHeight="1" x14ac:dyDescent="0.25">
      <c r="A39" s="56" t="s">
        <v>183</v>
      </c>
      <c r="B39" s="74">
        <f t="shared" ref="B39:K39" si="8">(B26+B23)/B31</f>
        <v>0.41437105874543645</v>
      </c>
      <c r="C39" s="74">
        <f t="shared" si="8"/>
        <v>0.3175764033515765</v>
      </c>
      <c r="D39" s="74">
        <f t="shared" si="8"/>
        <v>0.25772208476334901</v>
      </c>
      <c r="E39" s="74">
        <f t="shared" si="8"/>
        <v>0.25105842506350551</v>
      </c>
      <c r="F39" s="74">
        <f t="shared" si="8"/>
        <v>0.19067215363511661</v>
      </c>
      <c r="G39" s="74">
        <f t="shared" si="8"/>
        <v>0.17045086608529608</v>
      </c>
      <c r="H39" s="74">
        <f t="shared" si="8"/>
        <v>0.14332669291999028</v>
      </c>
      <c r="I39" s="74">
        <f t="shared" si="8"/>
        <v>0.12168172021178844</v>
      </c>
      <c r="J39" s="74">
        <f t="shared" si="8"/>
        <v>0.10415836767207412</v>
      </c>
      <c r="K39" s="74">
        <f t="shared" si="8"/>
        <v>8.975337291866925E-2</v>
      </c>
    </row>
    <row r="40" spans="1:11" ht="15" customHeight="1" x14ac:dyDescent="0.25">
      <c r="A40" s="56" t="s">
        <v>184</v>
      </c>
      <c r="B40" s="59">
        <f>'Income Statement'!B35/B31</f>
        <v>0.27696647859276469</v>
      </c>
      <c r="C40" s="59">
        <f>'Income Statement'!C35/C31</f>
        <v>0.28304354143459098</v>
      </c>
      <c r="D40" s="59">
        <f>'Income Statement'!D35/D31</f>
        <v>0.25109745390693589</v>
      </c>
      <c r="E40" s="59">
        <f>'Income Statement'!E35/E31</f>
        <v>0.31189669771380185</v>
      </c>
      <c r="F40" s="59">
        <f>'Income Statement'!F35/F31</f>
        <v>0.2777434842249657</v>
      </c>
      <c r="G40" s="59">
        <f>'Income Statement'!G35/G31</f>
        <v>0.25434968582008599</v>
      </c>
      <c r="H40" s="59">
        <f>'Income Statement'!H35/H31</f>
        <v>0.23236001263972242</v>
      </c>
      <c r="I40" s="59">
        <f>'Income Statement'!I35/I31</f>
        <v>0.21617778380912123</v>
      </c>
      <c r="J40" s="59">
        <f>'Income Statement'!J35/J31</f>
        <v>0.2021930453348012</v>
      </c>
      <c r="K40" s="59">
        <f>'Income Statement'!K35/K31</f>
        <v>0.19035467603386572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zoomScaleNormal="100" workbookViewId="0">
      <selection activeCell="A7" sqref="A7"/>
    </sheetView>
  </sheetViews>
  <sheetFormatPr defaultColWidth="8.6328125" defaultRowHeight="12.5" x14ac:dyDescent="0.25"/>
  <cols>
    <col min="1" max="1" width="46" style="51" customWidth="1"/>
    <col min="2" max="4" width="16" style="51" customWidth="1"/>
    <col min="5" max="16384" width="8.6328125" style="51"/>
  </cols>
  <sheetData>
    <row r="1" spans="1:4" ht="17.25" customHeight="1" x14ac:dyDescent="0.3">
      <c r="A1" s="50" t="s">
        <v>185</v>
      </c>
    </row>
    <row r="2" spans="1:4" ht="15" customHeight="1" x14ac:dyDescent="0.3">
      <c r="A2" s="66" t="s">
        <v>186</v>
      </c>
    </row>
    <row r="4" spans="1:4" ht="15" customHeight="1" x14ac:dyDescent="0.3">
      <c r="A4" s="49"/>
    </row>
    <row r="5" spans="1:4" ht="15" customHeight="1" x14ac:dyDescent="0.3">
      <c r="A5" s="49" t="s">
        <v>187</v>
      </c>
      <c r="B5" s="65" t="s">
        <v>188</v>
      </c>
      <c r="C5" s="65" t="s">
        <v>189</v>
      </c>
      <c r="D5" s="65" t="s">
        <v>190</v>
      </c>
    </row>
    <row r="6" spans="1:4" ht="15" customHeight="1" x14ac:dyDescent="0.3">
      <c r="A6" s="56" t="s">
        <v>191</v>
      </c>
      <c r="B6" s="60">
        <v>9.5000000000000001E-2</v>
      </c>
      <c r="C6" s="60">
        <v>7.4999999999999997E-2</v>
      </c>
      <c r="D6" s="60">
        <v>5.5E-2</v>
      </c>
    </row>
    <row r="7" spans="1:4" ht="15" customHeight="1" x14ac:dyDescent="0.3">
      <c r="A7" s="56" t="s">
        <v>192</v>
      </c>
      <c r="B7" s="60">
        <v>0.114</v>
      </c>
      <c r="C7" s="60">
        <v>0.11119999999999999</v>
      </c>
      <c r="D7" s="60">
        <v>0.108</v>
      </c>
    </row>
    <row r="8" spans="1:4" ht="15" customHeight="1" x14ac:dyDescent="0.3">
      <c r="A8" s="56" t="s">
        <v>193</v>
      </c>
      <c r="B8" s="60">
        <v>8.9499999999999996E-2</v>
      </c>
      <c r="C8" s="60">
        <v>9.1200000000000003E-2</v>
      </c>
      <c r="D8" s="60">
        <v>9.4E-2</v>
      </c>
    </row>
    <row r="9" spans="1:4" ht="15" customHeight="1" x14ac:dyDescent="0.25">
      <c r="A9" s="56" t="s">
        <v>194</v>
      </c>
    </row>
    <row r="10" spans="1:4" ht="15" customHeight="1" x14ac:dyDescent="0.3">
      <c r="A10" s="56" t="s">
        <v>195</v>
      </c>
      <c r="B10" s="60">
        <v>2.1499999999999998E-2</v>
      </c>
      <c r="C10" s="60">
        <v>2.3E-2</v>
      </c>
      <c r="D10" s="60">
        <v>2.5000000000000001E-2</v>
      </c>
    </row>
    <row r="11" spans="1:4" ht="15" customHeight="1" x14ac:dyDescent="0.3">
      <c r="A11" s="56" t="s">
        <v>196</v>
      </c>
      <c r="B11" s="60">
        <v>0.24</v>
      </c>
      <c r="C11" s="60">
        <v>0.245</v>
      </c>
      <c r="D11" s="60">
        <v>0.255</v>
      </c>
    </row>
    <row r="12" spans="1:4" ht="15" customHeight="1" x14ac:dyDescent="0.3">
      <c r="A12" s="56" t="s">
        <v>197</v>
      </c>
      <c r="B12" s="60">
        <v>-0.02</v>
      </c>
      <c r="C12" s="60">
        <v>-1.2999999999999999E-2</v>
      </c>
      <c r="D12" s="60">
        <v>-5.0000000000000001E-3</v>
      </c>
    </row>
    <row r="14" spans="1:4" ht="15" customHeight="1" x14ac:dyDescent="0.3">
      <c r="A14" s="50" t="s">
        <v>198</v>
      </c>
    </row>
    <row r="15" spans="1:4" ht="15" customHeight="1" x14ac:dyDescent="0.3">
      <c r="A15" s="50" t="s">
        <v>199</v>
      </c>
    </row>
    <row r="16" spans="1:4" ht="45" customHeight="1" x14ac:dyDescent="0.3">
      <c r="A16" s="78" t="s">
        <v>200</v>
      </c>
      <c r="B16" s="78"/>
      <c r="C16" s="78"/>
      <c r="D16" s="78"/>
    </row>
    <row r="18" spans="1:4" ht="15" customHeight="1" x14ac:dyDescent="0.3">
      <c r="A18" s="50" t="s">
        <v>201</v>
      </c>
    </row>
    <row r="19" spans="1:4" ht="45" customHeight="1" x14ac:dyDescent="0.3">
      <c r="A19" s="78" t="s">
        <v>202</v>
      </c>
      <c r="B19" s="78"/>
      <c r="C19" s="78"/>
      <c r="D19" s="78"/>
    </row>
    <row r="21" spans="1:4" ht="15" customHeight="1" x14ac:dyDescent="0.3">
      <c r="A21" s="50" t="s">
        <v>203</v>
      </c>
    </row>
    <row r="22" spans="1:4" ht="45" customHeight="1" x14ac:dyDescent="0.3">
      <c r="A22" s="78" t="s">
        <v>204</v>
      </c>
      <c r="B22" s="78"/>
      <c r="C22" s="78"/>
      <c r="D22" s="78"/>
    </row>
    <row r="24" spans="1:4" ht="15" customHeight="1" x14ac:dyDescent="0.3">
      <c r="A24" s="49" t="s">
        <v>205</v>
      </c>
    </row>
    <row r="25" spans="1:4" ht="15" customHeight="1" x14ac:dyDescent="0.3">
      <c r="B25" s="65" t="s">
        <v>188</v>
      </c>
      <c r="C25" s="65" t="s">
        <v>189</v>
      </c>
      <c r="D25" s="65" t="s">
        <v>190</v>
      </c>
    </row>
    <row r="26" spans="1:4" ht="15" customHeight="1" x14ac:dyDescent="0.25">
      <c r="A26" s="56" t="s">
        <v>206</v>
      </c>
      <c r="B26" s="58">
        <f>'Income Statement'!F7*(1+B6)^5</f>
        <v>424905.92704307905</v>
      </c>
      <c r="C26" s="58">
        <f>'Income Statement'!F7*(1+C6)^5</f>
        <v>387493.58268570312</v>
      </c>
      <c r="D26" s="58">
        <f>'Income Statement'!F7*(1+D6)^5</f>
        <v>352764.18924996717</v>
      </c>
    </row>
    <row r="27" spans="1:4" ht="15" customHeight="1" x14ac:dyDescent="0.25">
      <c r="A27" s="56" t="s">
        <v>207</v>
      </c>
      <c r="B27" s="58">
        <f>'Income Statement'!F9*(1+0.07)^5</f>
        <v>7465.782862516101</v>
      </c>
      <c r="C27" s="58">
        <f>'Income Statement'!F9*(1+0.07)^5</f>
        <v>7465.782862516101</v>
      </c>
      <c r="D27" s="58">
        <f>'Income Statement'!F9*(1+0.07)^5</f>
        <v>7465.782862516101</v>
      </c>
    </row>
    <row r="28" spans="1:4" ht="15" customHeight="1" x14ac:dyDescent="0.25">
      <c r="A28" s="56" t="s">
        <v>208</v>
      </c>
      <c r="B28" s="58">
        <f>B26*B7</f>
        <v>48439.275682911015</v>
      </c>
      <c r="C28" s="58">
        <f>C26*C7</f>
        <v>43089.286394650182</v>
      </c>
      <c r="D28" s="58">
        <f>D26*D7</f>
        <v>38098.532438996452</v>
      </c>
    </row>
    <row r="29" spans="1:4" ht="15" customHeight="1" x14ac:dyDescent="0.25">
      <c r="A29" s="56" t="s">
        <v>209</v>
      </c>
      <c r="B29" s="58">
        <f>B26*B8</f>
        <v>38029.080470355577</v>
      </c>
      <c r="C29" s="58">
        <f>C26*C8</f>
        <v>35339.414740936125</v>
      </c>
      <c r="D29" s="58">
        <f>D26*D8</f>
        <v>33159.833789496915</v>
      </c>
    </row>
    <row r="30" spans="1:4" ht="15" customHeight="1" x14ac:dyDescent="0.3">
      <c r="A30" s="50" t="s">
        <v>210</v>
      </c>
      <c r="B30" s="75">
        <f>B28+B27-B29</f>
        <v>17875.978075071536</v>
      </c>
      <c r="C30" s="75">
        <f>C28+C27-C29</f>
        <v>15215.654516230155</v>
      </c>
      <c r="D30" s="75">
        <f>D28+D27-D29</f>
        <v>12404.481512015635</v>
      </c>
    </row>
    <row r="31" spans="1:4" ht="15" customHeight="1" x14ac:dyDescent="0.25">
      <c r="A31" s="56" t="s">
        <v>211</v>
      </c>
      <c r="B31" s="59">
        <f>B30/(B26+B27)</f>
        <v>4.1344004858631038E-2</v>
      </c>
      <c r="C31" s="59">
        <f>C30/(C26+C27)</f>
        <v>3.8524607449452998E-2</v>
      </c>
      <c r="D31" s="59">
        <f>D30/(D26+D27)</f>
        <v>3.4434895684199995E-2</v>
      </c>
    </row>
    <row r="32" spans="1:4" ht="15" customHeight="1" x14ac:dyDescent="0.3">
      <c r="A32" s="50" t="s">
        <v>212</v>
      </c>
      <c r="B32" s="75">
        <f>B30*(1-B11)</f>
        <v>13585.743337054368</v>
      </c>
      <c r="C32" s="75">
        <f>C30*(1-C11)</f>
        <v>11487.819159753768</v>
      </c>
      <c r="D32" s="75">
        <f>D30*(1-D11)</f>
        <v>9241.3387264516477</v>
      </c>
    </row>
    <row r="33" spans="1:4" ht="15" customHeight="1" x14ac:dyDescent="0.25">
      <c r="A33" s="56" t="s">
        <v>213</v>
      </c>
      <c r="B33" s="76">
        <f>('Income Statement'!F39/1000)*(1+B12)</f>
        <v>435.96769999999998</v>
      </c>
      <c r="C33" s="76">
        <f>('Income Statement'!F39/1000)*(1+C12)</f>
        <v>439.08175499999999</v>
      </c>
      <c r="D33" s="76">
        <f>('Income Statement'!F39/1000)*(1+D12)</f>
        <v>442.64067499999999</v>
      </c>
    </row>
    <row r="34" spans="1:4" ht="15" customHeight="1" x14ac:dyDescent="0.3">
      <c r="A34" s="50" t="s">
        <v>214</v>
      </c>
      <c r="B34" s="77">
        <f>B32/B33</f>
        <v>31.162270363273169</v>
      </c>
      <c r="C34" s="77">
        <f>C32/C33</f>
        <v>26.163280593960842</v>
      </c>
      <c r="D34" s="77">
        <f>D32/D33</f>
        <v>20.87774406735587</v>
      </c>
    </row>
    <row r="35" spans="1:4" ht="15" customHeight="1" x14ac:dyDescent="0.25">
      <c r="A35" s="56" t="s">
        <v>215</v>
      </c>
      <c r="B35" s="58">
        <f>B32*1.28*(1-B10*1.6)</f>
        <v>16791.544020812413</v>
      </c>
      <c r="C35" s="58">
        <f>C32*1.28*(1-C10*1.6)</f>
        <v>14163.286290783783</v>
      </c>
      <c r="D35" s="58">
        <f>D32*1.28*(1-D10*1.6)</f>
        <v>11355.757027063784</v>
      </c>
    </row>
  </sheetData>
  <mergeCells count="3">
    <mergeCell ref="A16:D16"/>
    <mergeCell ref="A19:D19"/>
    <mergeCell ref="A22:D2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pane xSplit="1" ySplit="6" topLeftCell="B9" activePane="bottomRight" state="frozen"/>
      <selection pane="topRight" activeCell="C1" sqref="C1"/>
      <selection pane="bottomLeft" activeCell="A7" sqref="A7"/>
      <selection pane="bottomRight" activeCell="A34" sqref="A34:XFD34"/>
    </sheetView>
  </sheetViews>
  <sheetFormatPr defaultColWidth="8.6328125" defaultRowHeight="14.5" x14ac:dyDescent="0.35"/>
  <cols>
    <col min="1" max="1" width="52" customWidth="1"/>
    <col min="2" max="11" width="12" customWidth="1"/>
  </cols>
  <sheetData>
    <row r="1" spans="1:11" ht="17.25" customHeight="1" x14ac:dyDescent="0.4">
      <c r="A1" s="8" t="s">
        <v>216</v>
      </c>
    </row>
    <row r="2" spans="1:11" ht="15" customHeight="1" x14ac:dyDescent="0.35">
      <c r="A2" s="67" t="s">
        <v>217</v>
      </c>
    </row>
    <row r="3" spans="1:11" ht="15" customHeight="1" x14ac:dyDescent="0.35">
      <c r="A3" s="67" t="s">
        <v>66</v>
      </c>
    </row>
    <row r="5" spans="1:11" ht="15" customHeight="1" x14ac:dyDescent="0.35">
      <c r="A5" s="20" t="s">
        <v>68</v>
      </c>
      <c r="B5" s="21" t="s">
        <v>69</v>
      </c>
      <c r="C5" s="21" t="s">
        <v>70</v>
      </c>
      <c r="D5" s="21" t="s">
        <v>71</v>
      </c>
      <c r="E5" s="21" t="s">
        <v>72</v>
      </c>
      <c r="F5" s="21" t="s">
        <v>73</v>
      </c>
      <c r="G5" s="21" t="s">
        <v>74</v>
      </c>
      <c r="H5" s="21" t="s">
        <v>75</v>
      </c>
      <c r="I5" s="21" t="s">
        <v>76</v>
      </c>
      <c r="J5" s="21" t="s">
        <v>77</v>
      </c>
      <c r="K5" s="21" t="s">
        <v>78</v>
      </c>
    </row>
    <row r="6" spans="1:11" ht="15" customHeight="1" x14ac:dyDescent="0.35">
      <c r="A6" s="22" t="s">
        <v>218</v>
      </c>
      <c r="B6" s="29">
        <f>'Income Statement'!B23</f>
        <v>6708</v>
      </c>
      <c r="C6" s="29">
        <f>'Income Statement'!C23</f>
        <v>7793</v>
      </c>
      <c r="D6" s="29">
        <f>'Income Statement'!D23</f>
        <v>8114</v>
      </c>
      <c r="E6" s="29">
        <f>'Income Statement'!E23</f>
        <v>9285</v>
      </c>
      <c r="F6" s="29">
        <f>'Income Statement'!F23</f>
        <v>10383</v>
      </c>
      <c r="G6" s="29">
        <f>'Income Statement'!G23</f>
        <v>11322.553856607981</v>
      </c>
      <c r="H6" s="29">
        <f>'Income Statement'!H23</f>
        <v>12147.265009942428</v>
      </c>
      <c r="I6" s="29">
        <f>'Income Statement'!I23</f>
        <v>13108.408715852227</v>
      </c>
      <c r="J6" s="29">
        <f>'Income Statement'!J23</f>
        <v>14102.459144252385</v>
      </c>
      <c r="K6" s="29">
        <f>'Income Statement'!K23</f>
        <v>15140.000906578694</v>
      </c>
    </row>
    <row r="7" spans="1:11" ht="15" customHeight="1" x14ac:dyDescent="0.35">
      <c r="A7" s="22" t="s">
        <v>219</v>
      </c>
      <c r="B7" s="25">
        <f>'Income Statement'!B30/'Income Statement'!B29</f>
        <v>0.23967065868263474</v>
      </c>
      <c r="C7" s="25">
        <f>'Income Statement'!C30/'Income Statement'!C29</f>
        <v>0.24553571428571427</v>
      </c>
      <c r="D7" s="25">
        <f>'Income Statement'!D30/'Income Statement'!D29</f>
        <v>0.25863084717803697</v>
      </c>
      <c r="E7" s="25">
        <f>'Income Statement'!E30/'Income Statement'!E29</f>
        <v>0.24363449691991787</v>
      </c>
      <c r="F7" s="25">
        <f>'Income Statement'!F30/'Income Statement'!F29</f>
        <v>0.25134035866149013</v>
      </c>
      <c r="G7" s="25">
        <f>'Income Statement'!G30/'Income Statement'!G29</f>
        <v>0.248</v>
      </c>
      <c r="H7" s="25">
        <f>'Income Statement'!H30/'Income Statement'!H29</f>
        <v>0.24699999999999997</v>
      </c>
      <c r="I7" s="25">
        <f>'Income Statement'!I30/'Income Statement'!I29</f>
        <v>0.246</v>
      </c>
      <c r="J7" s="25">
        <f>'Income Statement'!J30/'Income Statement'!J29</f>
        <v>0.24600000000000002</v>
      </c>
      <c r="K7" s="25">
        <f>'Income Statement'!K30/'Income Statement'!K29</f>
        <v>0.245</v>
      </c>
    </row>
    <row r="8" spans="1:11" ht="15" customHeight="1" x14ac:dyDescent="0.35">
      <c r="A8" s="20" t="s">
        <v>220</v>
      </c>
      <c r="B8" s="30">
        <f t="shared" ref="B8:K8" si="0">B6*(1-B7)</f>
        <v>5100.2892215568863</v>
      </c>
      <c r="C8" s="30">
        <f t="shared" si="0"/>
        <v>5879.5401785714284</v>
      </c>
      <c r="D8" s="30">
        <f t="shared" si="0"/>
        <v>6015.4693059974079</v>
      </c>
      <c r="E8" s="30">
        <f t="shared" si="0"/>
        <v>7022.8536960985621</v>
      </c>
      <c r="F8" s="30">
        <f t="shared" si="0"/>
        <v>7773.3330560177474</v>
      </c>
      <c r="G8" s="30">
        <f t="shared" si="0"/>
        <v>8514.560500169202</v>
      </c>
      <c r="H8" s="30">
        <f t="shared" si="0"/>
        <v>9146.8905524866477</v>
      </c>
      <c r="I8" s="30">
        <f t="shared" si="0"/>
        <v>9883.740171752579</v>
      </c>
      <c r="J8" s="30">
        <f t="shared" si="0"/>
        <v>10633.254194766298</v>
      </c>
      <c r="K8" s="30">
        <f t="shared" si="0"/>
        <v>11430.700684466914</v>
      </c>
    </row>
    <row r="10" spans="1:11" ht="15" customHeight="1" x14ac:dyDescent="0.35">
      <c r="A10" s="22" t="s">
        <v>221</v>
      </c>
      <c r="B10" s="29">
        <f>'Cash Flow Statement'!B8</f>
        <v>1781</v>
      </c>
      <c r="C10" s="29">
        <f>'Cash Flow Statement'!C8</f>
        <v>1900</v>
      </c>
      <c r="D10" s="29">
        <f>'Cash Flow Statement'!D8</f>
        <v>2077</v>
      </c>
      <c r="E10" s="29">
        <f>'Cash Flow Statement'!E8</f>
        <v>2188</v>
      </c>
      <c r="F10" s="29">
        <f>'Cash Flow Statement'!F8</f>
        <v>2367</v>
      </c>
      <c r="G10" s="29">
        <f>'Cash Flow Statement'!G8</f>
        <v>2570</v>
      </c>
      <c r="H10" s="29">
        <f>'Cash Flow Statement'!H8</f>
        <v>2790</v>
      </c>
      <c r="I10" s="29">
        <f>'Cash Flow Statement'!I8</f>
        <v>3010</v>
      </c>
      <c r="J10" s="29">
        <f>'Cash Flow Statement'!J8</f>
        <v>3230</v>
      </c>
      <c r="K10" s="29">
        <f>'Cash Flow Statement'!K8</f>
        <v>3450</v>
      </c>
    </row>
    <row r="11" spans="1:11" ht="15" customHeight="1" x14ac:dyDescent="0.35">
      <c r="A11" s="22" t="s">
        <v>222</v>
      </c>
      <c r="B11" s="29">
        <f>'Cash Flow Statement'!B15</f>
        <v>-3588</v>
      </c>
      <c r="C11" s="29">
        <f>'Cash Flow Statement'!C15</f>
        <v>-3891</v>
      </c>
      <c r="D11" s="29">
        <f>'Cash Flow Statement'!D15</f>
        <v>-4323</v>
      </c>
      <c r="E11" s="29">
        <f>'Cash Flow Statement'!E15</f>
        <v>-4409</v>
      </c>
      <c r="F11" s="29">
        <f>'Cash Flow Statement'!F15</f>
        <v>-5311</v>
      </c>
      <c r="G11" s="29">
        <f>'Cash Flow Statement'!G15</f>
        <v>-6250</v>
      </c>
      <c r="H11" s="29">
        <f>'Cash Flow Statement'!H15</f>
        <v>-6600</v>
      </c>
      <c r="I11" s="29">
        <f>'Cash Flow Statement'!I15</f>
        <v>-6900</v>
      </c>
      <c r="J11" s="29">
        <f>'Cash Flow Statement'!J15</f>
        <v>-7150</v>
      </c>
      <c r="K11" s="29">
        <f>'Cash Flow Statement'!K15</f>
        <v>-7400</v>
      </c>
    </row>
    <row r="12" spans="1:11" ht="15" customHeight="1" x14ac:dyDescent="0.35">
      <c r="A12" s="22" t="s">
        <v>223</v>
      </c>
      <c r="B12" s="23">
        <v>-420</v>
      </c>
      <c r="C12" s="23">
        <v>-380</v>
      </c>
      <c r="D12" s="23">
        <v>180</v>
      </c>
      <c r="E12" s="23">
        <v>-310</v>
      </c>
      <c r="F12" s="23">
        <v>-260</v>
      </c>
      <c r="G12" s="27">
        <v>-220</v>
      </c>
      <c r="H12" s="27">
        <v>-230</v>
      </c>
      <c r="I12" s="27">
        <v>-240</v>
      </c>
      <c r="J12" s="27">
        <v>-250</v>
      </c>
      <c r="K12" s="27">
        <v>-260</v>
      </c>
    </row>
    <row r="14" spans="1:11" ht="15" customHeight="1" thickBot="1" x14ac:dyDescent="0.4">
      <c r="A14" s="20" t="s">
        <v>224</v>
      </c>
      <c r="B14" s="28">
        <f t="shared" ref="B14:K14" si="1">B8+B10+B11+B12</f>
        <v>2873.2892215568863</v>
      </c>
      <c r="C14" s="28">
        <f t="shared" si="1"/>
        <v>3508.5401785714284</v>
      </c>
      <c r="D14" s="28">
        <f t="shared" si="1"/>
        <v>3949.4693059974079</v>
      </c>
      <c r="E14" s="28">
        <f t="shared" si="1"/>
        <v>4491.8536960985621</v>
      </c>
      <c r="F14" s="28">
        <f t="shared" si="1"/>
        <v>4569.3330560177474</v>
      </c>
      <c r="G14" s="28">
        <f t="shared" si="1"/>
        <v>4614.560500169202</v>
      </c>
      <c r="H14" s="28">
        <f t="shared" si="1"/>
        <v>5106.8905524866477</v>
      </c>
      <c r="I14" s="28">
        <f t="shared" si="1"/>
        <v>5753.740171752579</v>
      </c>
      <c r="J14" s="28">
        <f t="shared" si="1"/>
        <v>6463.2541947662976</v>
      </c>
      <c r="K14" s="28">
        <f t="shared" si="1"/>
        <v>7220.700684466914</v>
      </c>
    </row>
    <row r="15" spans="1:11" ht="15" customHeight="1" thickTop="1" x14ac:dyDescent="0.35">
      <c r="A15" s="22" t="s">
        <v>225</v>
      </c>
      <c r="B15" s="25">
        <f>B14/'Income Statement'!B10</f>
        <v>1.4664951189241441E-2</v>
      </c>
      <c r="C15" s="25">
        <f>C14/'Income Statement'!C10</f>
        <v>1.5459256847517243E-2</v>
      </c>
      <c r="D15" s="25">
        <f>D14/'Income Statement'!D10</f>
        <v>1.6300587337477437E-2</v>
      </c>
      <c r="E15" s="25">
        <f>E14/'Income Statement'!E10</f>
        <v>1.7652979906303178E-2</v>
      </c>
      <c r="F15" s="25">
        <f>F14/'Income Statement'!F10</f>
        <v>1.6601569771350837E-2</v>
      </c>
      <c r="G15" s="25">
        <f>G14/'Income Statement'!G10</f>
        <v>1.5220300543387043E-2</v>
      </c>
      <c r="H15" s="25">
        <f>H14/'Income Statement'!H10</f>
        <v>1.5825244256796548E-2</v>
      </c>
      <c r="I15" s="25">
        <f>I14/'Income Statement'!I10</f>
        <v>1.6813053226225366E-2</v>
      </c>
      <c r="J15" s="25">
        <f>J14/'Income Statement'!J10</f>
        <v>1.7825546320296076E-2</v>
      </c>
      <c r="K15" s="25">
        <f>K14/'Income Statement'!K10</f>
        <v>1.8866156799189324E-2</v>
      </c>
    </row>
    <row r="17" spans="1:2" ht="15" customHeight="1" x14ac:dyDescent="0.35">
      <c r="A17" s="10" t="s">
        <v>226</v>
      </c>
    </row>
    <row r="18" spans="1:2" ht="15" customHeight="1" x14ac:dyDescent="0.35">
      <c r="A18" s="22" t="s">
        <v>227</v>
      </c>
      <c r="B18" s="29">
        <f>'Income Statement'!K10</f>
        <v>382732.99439434247</v>
      </c>
    </row>
    <row r="19" spans="1:2" ht="15" customHeight="1" x14ac:dyDescent="0.35">
      <c r="A19" s="22" t="s">
        <v>228</v>
      </c>
      <c r="B19" s="24">
        <f>K6+K10</f>
        <v>18590.000906578694</v>
      </c>
    </row>
    <row r="20" spans="1:2" ht="15" customHeight="1" x14ac:dyDescent="0.35">
      <c r="A20" s="22" t="s">
        <v>229</v>
      </c>
      <c r="B20" s="24">
        <f>K6</f>
        <v>15140.000906578694</v>
      </c>
    </row>
    <row r="21" spans="1:2" ht="15" customHeight="1" x14ac:dyDescent="0.35">
      <c r="A21" s="22" t="s">
        <v>230</v>
      </c>
      <c r="B21" s="24">
        <f>K14</f>
        <v>7220.700684466914</v>
      </c>
    </row>
    <row r="23" spans="1:2" ht="15" customHeight="1" x14ac:dyDescent="0.35">
      <c r="A23" s="10" t="s">
        <v>231</v>
      </c>
    </row>
    <row r="24" spans="1:2" ht="15" customHeight="1" x14ac:dyDescent="0.35">
      <c r="A24" s="22" t="s">
        <v>232</v>
      </c>
      <c r="B24" s="26">
        <v>4.1000000000000002E-2</v>
      </c>
    </row>
    <row r="25" spans="1:2" ht="15" customHeight="1" x14ac:dyDescent="0.35">
      <c r="A25" s="22" t="s">
        <v>233</v>
      </c>
      <c r="B25" s="26">
        <v>4.4999999999999998E-2</v>
      </c>
    </row>
    <row r="26" spans="1:2" ht="15" customHeight="1" x14ac:dyDescent="0.35">
      <c r="A26" s="22" t="s">
        <v>234</v>
      </c>
      <c r="B26" s="26">
        <v>0.86</v>
      </c>
    </row>
    <row r="27" spans="1:2" ht="15" customHeight="1" x14ac:dyDescent="0.35">
      <c r="A27" s="22" t="s">
        <v>235</v>
      </c>
      <c r="B27" s="25">
        <f>B24+B26*B25</f>
        <v>7.9699999999999993E-2</v>
      </c>
    </row>
    <row r="28" spans="1:2" ht="15" customHeight="1" x14ac:dyDescent="0.35">
      <c r="A28" s="22" t="s">
        <v>236</v>
      </c>
      <c r="B28" s="26">
        <v>3.3000000000000002E-2</v>
      </c>
    </row>
    <row r="29" spans="1:2" ht="15" customHeight="1" x14ac:dyDescent="0.35">
      <c r="A29" s="22" t="s">
        <v>237</v>
      </c>
      <c r="B29" s="26">
        <v>0.245</v>
      </c>
    </row>
    <row r="30" spans="1:2" ht="15" customHeight="1" x14ac:dyDescent="0.35">
      <c r="A30" s="22" t="s">
        <v>238</v>
      </c>
      <c r="B30" s="26">
        <v>0.02</v>
      </c>
    </row>
    <row r="32" spans="1:2" ht="15" customHeight="1" x14ac:dyDescent="0.35">
      <c r="A32" s="20" t="s">
        <v>239</v>
      </c>
      <c r="B32" s="31">
        <f>(1-B30)*B27+B30*B28*(1-B29)</f>
        <v>7.8604299999999988E-2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zoomScaleNormal="10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ColWidth="8.6328125" defaultRowHeight="12.5" x14ac:dyDescent="0.25"/>
  <cols>
    <col min="1" max="1" width="42" style="51" customWidth="1"/>
    <col min="2" max="7" width="14" style="51" customWidth="1"/>
    <col min="8" max="16384" width="8.6328125" style="51"/>
  </cols>
  <sheetData>
    <row r="1" spans="1:6" ht="17.25" customHeight="1" x14ac:dyDescent="0.3">
      <c r="A1" s="50" t="s">
        <v>240</v>
      </c>
    </row>
    <row r="2" spans="1:6" ht="15" customHeight="1" x14ac:dyDescent="0.3">
      <c r="A2" s="66" t="s">
        <v>241</v>
      </c>
    </row>
    <row r="4" spans="1:6" ht="15" customHeight="1" x14ac:dyDescent="0.3">
      <c r="A4" s="49" t="s">
        <v>242</v>
      </c>
    </row>
    <row r="5" spans="1:6" ht="15" customHeight="1" x14ac:dyDescent="0.3">
      <c r="B5" s="65" t="s">
        <v>74</v>
      </c>
      <c r="C5" s="65" t="s">
        <v>75</v>
      </c>
      <c r="D5" s="65" t="s">
        <v>76</v>
      </c>
      <c r="E5" s="65" t="s">
        <v>77</v>
      </c>
      <c r="F5" s="65" t="s">
        <v>78</v>
      </c>
    </row>
    <row r="6" spans="1:6" ht="15" customHeight="1" x14ac:dyDescent="0.25">
      <c r="A6" s="56" t="s">
        <v>243</v>
      </c>
      <c r="B6" s="68">
        <f>'DCF Inputs'!G14</f>
        <v>4614.560500169202</v>
      </c>
      <c r="C6" s="68">
        <f>'DCF Inputs'!H14</f>
        <v>5106.8905524866477</v>
      </c>
      <c r="D6" s="68">
        <f>'DCF Inputs'!I14</f>
        <v>5753.740171752579</v>
      </c>
      <c r="E6" s="68">
        <f>'DCF Inputs'!J14</f>
        <v>6463.2541947662976</v>
      </c>
      <c r="F6" s="68">
        <f>'DCF Inputs'!K14</f>
        <v>7220.700684466914</v>
      </c>
    </row>
    <row r="7" spans="1:6" ht="15" customHeight="1" x14ac:dyDescent="0.25">
      <c r="A7" s="51" t="s">
        <v>244</v>
      </c>
      <c r="B7" s="79">
        <v>1</v>
      </c>
      <c r="C7" s="79">
        <v>2</v>
      </c>
      <c r="D7" s="79">
        <v>3</v>
      </c>
      <c r="E7" s="79">
        <v>4</v>
      </c>
      <c r="F7" s="79">
        <v>5</v>
      </c>
    </row>
    <row r="9" spans="1:6" ht="15" customHeight="1" x14ac:dyDescent="0.3">
      <c r="A9" s="49" t="s">
        <v>245</v>
      </c>
    </row>
    <row r="10" spans="1:6" ht="15" customHeight="1" x14ac:dyDescent="0.25">
      <c r="A10" s="51" t="s">
        <v>246</v>
      </c>
      <c r="B10" s="80">
        <f>'DCF Inputs'!B32</f>
        <v>7.8604299999999988E-2</v>
      </c>
    </row>
    <row r="11" spans="1:6" ht="15" customHeight="1" x14ac:dyDescent="0.3">
      <c r="A11" s="51" t="s">
        <v>247</v>
      </c>
      <c r="B11" s="60">
        <v>2.5000000000000001E-2</v>
      </c>
    </row>
    <row r="13" spans="1:6" ht="15" customHeight="1" x14ac:dyDescent="0.3">
      <c r="A13" s="49" t="s">
        <v>248</v>
      </c>
    </row>
    <row r="14" spans="1:6" ht="15" customHeight="1" x14ac:dyDescent="0.3">
      <c r="B14" s="65" t="s">
        <v>74</v>
      </c>
      <c r="C14" s="65" t="s">
        <v>75</v>
      </c>
      <c r="D14" s="65" t="s">
        <v>76</v>
      </c>
      <c r="E14" s="65" t="s">
        <v>77</v>
      </c>
      <c r="F14" s="65" t="s">
        <v>78</v>
      </c>
    </row>
    <row r="15" spans="1:6" ht="15" customHeight="1" x14ac:dyDescent="0.25">
      <c r="A15" s="51" t="s">
        <v>249</v>
      </c>
      <c r="B15" s="81">
        <f>1/(1+$B$10)^B7</f>
        <v>0.92712406208653153</v>
      </c>
      <c r="C15" s="81">
        <f>1/(1+$B$10)^C7</f>
        <v>0.85955902649983074</v>
      </c>
      <c r="D15" s="81">
        <f>1/(1+$B$10)^D7</f>
        <v>0.79691785625166778</v>
      </c>
      <c r="E15" s="81">
        <f>1/(1+$B$10)^E7</f>
        <v>0.73884172003733684</v>
      </c>
      <c r="F15" s="81">
        <f>1/(1+$B$10)^F7</f>
        <v>0.68499793672001563</v>
      </c>
    </row>
    <row r="16" spans="1:6" ht="15" customHeight="1" x14ac:dyDescent="0.25">
      <c r="A16" s="51" t="s">
        <v>250</v>
      </c>
      <c r="B16" s="58">
        <f>B6*B15</f>
        <v>4278.2700756609274</v>
      </c>
      <c r="C16" s="58">
        <f>C6*C15</f>
        <v>4389.6738717366061</v>
      </c>
      <c r="D16" s="58">
        <f>D6*D15</f>
        <v>4585.2582831021682</v>
      </c>
      <c r="E16" s="58">
        <f>E6*E15</f>
        <v>4775.3218462996638</v>
      </c>
      <c r="F16" s="58">
        <f>F6*F15</f>
        <v>4946.165070532641</v>
      </c>
    </row>
    <row r="17" spans="1:2" ht="15" customHeight="1" x14ac:dyDescent="0.3">
      <c r="A17" s="50" t="s">
        <v>251</v>
      </c>
      <c r="B17" s="61">
        <f>SUM(B16:F16)</f>
        <v>22974.689147332007</v>
      </c>
    </row>
    <row r="19" spans="1:2" ht="15" customHeight="1" x14ac:dyDescent="0.3">
      <c r="A19" s="49" t="s">
        <v>252</v>
      </c>
    </row>
    <row r="20" spans="1:2" ht="15" customHeight="1" x14ac:dyDescent="0.25">
      <c r="A20" s="51" t="s">
        <v>253</v>
      </c>
      <c r="B20" s="58">
        <f>F6*(1+B11)/(B10-B11)</f>
        <v>138071.35251423091</v>
      </c>
    </row>
    <row r="21" spans="1:2" ht="15" customHeight="1" x14ac:dyDescent="0.25">
      <c r="A21" s="51" t="s">
        <v>254</v>
      </c>
      <c r="B21" s="58">
        <f>B20*F15</f>
        <v>94578.591592390119</v>
      </c>
    </row>
    <row r="22" spans="1:2" ht="15" customHeight="1" x14ac:dyDescent="0.25">
      <c r="A22" s="51" t="s">
        <v>255</v>
      </c>
      <c r="B22" s="82">
        <f>B21/B25</f>
        <v>0.80455935382866184</v>
      </c>
    </row>
    <row r="24" spans="1:2" ht="15" customHeight="1" x14ac:dyDescent="0.3">
      <c r="A24" s="49" t="s">
        <v>256</v>
      </c>
    </row>
    <row r="25" spans="1:2" ht="15" customHeight="1" x14ac:dyDescent="0.3">
      <c r="A25" s="50" t="s">
        <v>257</v>
      </c>
      <c r="B25" s="61">
        <f>B17+B21</f>
        <v>117553.28073972213</v>
      </c>
    </row>
    <row r="26" spans="1:2" ht="15" customHeight="1" x14ac:dyDescent="0.3">
      <c r="A26" s="51" t="s">
        <v>258</v>
      </c>
      <c r="B26" s="62">
        <v>8170</v>
      </c>
    </row>
    <row r="27" spans="1:2" ht="15" customHeight="1" x14ac:dyDescent="0.3">
      <c r="A27" s="51" t="s">
        <v>259</v>
      </c>
      <c r="B27" s="62">
        <v>15284</v>
      </c>
    </row>
    <row r="28" spans="1:2" ht="15" customHeight="1" x14ac:dyDescent="0.25">
      <c r="A28" s="51" t="s">
        <v>260</v>
      </c>
      <c r="B28" s="58">
        <f>B26-B27</f>
        <v>-7114</v>
      </c>
    </row>
    <row r="29" spans="1:2" ht="15" customHeight="1" x14ac:dyDescent="0.3">
      <c r="A29" s="50" t="s">
        <v>261</v>
      </c>
      <c r="B29" s="63">
        <f>B25-B28</f>
        <v>124667.28073972213</v>
      </c>
    </row>
    <row r="31" spans="1:2" ht="15" customHeight="1" x14ac:dyDescent="0.3">
      <c r="A31" s="49" t="s">
        <v>262</v>
      </c>
    </row>
    <row r="32" spans="1:2" ht="15" customHeight="1" x14ac:dyDescent="0.3">
      <c r="A32" s="51" t="s">
        <v>263</v>
      </c>
      <c r="B32" s="83">
        <v>443.5</v>
      </c>
    </row>
    <row r="33" spans="1:2" ht="15" customHeight="1" x14ac:dyDescent="0.3">
      <c r="A33" s="50" t="s">
        <v>264</v>
      </c>
      <c r="B33" s="84">
        <f>B29/B32</f>
        <v>281.09871643680299</v>
      </c>
    </row>
    <row r="34" spans="1:2" ht="15" customHeight="1" x14ac:dyDescent="0.3">
      <c r="A34" s="51" t="s">
        <v>265</v>
      </c>
      <c r="B34" s="85">
        <v>895</v>
      </c>
    </row>
    <row r="35" spans="1:2" ht="15" customHeight="1" x14ac:dyDescent="0.25">
      <c r="A35" s="51" t="s">
        <v>266</v>
      </c>
      <c r="B35" s="59">
        <f>B33/B34-1</f>
        <v>-0.68592322185832066</v>
      </c>
    </row>
    <row r="37" spans="1:2" ht="15" customHeight="1" x14ac:dyDescent="0.3">
      <c r="A37" s="49" t="s">
        <v>267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"/>
  <sheetViews>
    <sheetView zoomScaleNormal="10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A11" sqref="A11"/>
    </sheetView>
  </sheetViews>
  <sheetFormatPr defaultColWidth="8.6328125" defaultRowHeight="12.5" x14ac:dyDescent="0.25"/>
  <cols>
    <col min="1" max="1" width="30" style="51" customWidth="1"/>
    <col min="2" max="8" width="12" style="51" customWidth="1"/>
    <col min="9" max="16384" width="8.6328125" style="51"/>
  </cols>
  <sheetData>
    <row r="1" spans="1:6" ht="17.25" customHeight="1" x14ac:dyDescent="0.3">
      <c r="A1" s="50" t="s">
        <v>268</v>
      </c>
    </row>
    <row r="2" spans="1:6" ht="15" customHeight="1" x14ac:dyDescent="0.3">
      <c r="A2" s="66" t="s">
        <v>269</v>
      </c>
    </row>
    <row r="4" spans="1:6" ht="15" customHeight="1" x14ac:dyDescent="0.3">
      <c r="A4" s="49" t="s">
        <v>270</v>
      </c>
    </row>
    <row r="6" spans="1:6" ht="15" customHeight="1" x14ac:dyDescent="0.3">
      <c r="A6" s="50" t="s">
        <v>271</v>
      </c>
      <c r="B6" s="88">
        <v>1.4999999999999999E-2</v>
      </c>
      <c r="C6" s="88">
        <v>0.02</v>
      </c>
      <c r="D6" s="88">
        <v>2.5000000000000001E-2</v>
      </c>
      <c r="E6" s="88">
        <v>0.03</v>
      </c>
      <c r="F6" s="88">
        <v>3.5000000000000003E-2</v>
      </c>
    </row>
    <row r="7" spans="1:6" ht="15" customHeight="1" x14ac:dyDescent="0.3">
      <c r="A7" s="60">
        <v>6.3600000000000004E-2</v>
      </c>
      <c r="B7" s="87">
        <f>(SUMPRODUCT('DCF Valuation'!$B$6:$F$6,1/(1+0.0636)^'DCF Valuation'!$B$7:$F$7)+('DCF Valuation'!$F$6*(1+0.015)/(0.0636-0.015))/(1+0.0636)^5-'DCF Valuation'!$B$28)/'DCF Valuation'!$B$32</f>
        <v>319.95257844776216</v>
      </c>
      <c r="C7" s="87">
        <f>(SUMPRODUCT('DCF Valuation'!$B$6:$F$6,1/(1+0.0636)^'DCF Valuation'!$B$7:$F$7)+('DCF Valuation'!$F$6*(1+0.02)/(0.0636-0.02))/(1+0.0636)^5-'DCF Valuation'!$B$28)/'DCF Valuation'!$B$32</f>
        <v>349.97319793309725</v>
      </c>
      <c r="D7" s="87">
        <f>(SUMPRODUCT('DCF Valuation'!$B$6:$F$6,1/(1+0.0636)^'DCF Valuation'!$B$7:$F$7)+('DCF Valuation'!$F$6*(1+0.025)/(0.0636-0.025))/(1+0.0636)^5-'DCF Valuation'!$B$28)/'DCF Valuation'!$B$32</f>
        <v>387.7711799793999</v>
      </c>
      <c r="E7" s="87">
        <f>(SUMPRODUCT('DCF Valuation'!$B$6:$F$6,1/(1+0.0636)^'DCF Valuation'!$B$7:$F$7)+('DCF Valuation'!$F$6*(1+0.03)/(0.0636-0.03))/(1+0.0636)^5-'DCF Valuation'!$B$28)/'DCF Valuation'!$B$32</f>
        <v>436.81856144424512</v>
      </c>
      <c r="F7" s="87">
        <f>(SUMPRODUCT('DCF Valuation'!$B$6:$F$6,1/(1+0.0636)^'DCF Valuation'!$B$7:$F$7)+('DCF Valuation'!$F$6*(1+0.035)/(0.0636-0.035))/(1+0.0636)^5-'DCF Valuation'!$B$28)/'DCF Valuation'!$B$32</f>
        <v>503.01537698770755</v>
      </c>
    </row>
    <row r="8" spans="1:6" ht="15" customHeight="1" x14ac:dyDescent="0.3">
      <c r="A8" s="60">
        <v>6.8599999999999994E-2</v>
      </c>
      <c r="B8" s="87">
        <f>(SUMPRODUCT('DCF Valuation'!$B$6:$F$6,1/(1+0.0686)^'DCF Valuation'!$B$7:$F$7)+('DCF Valuation'!$F$6*(1+0.015)/(0.0686-0.015))/(1+0.0686)^5-'DCF Valuation'!$B$28)/'DCF Valuation'!$B$32</f>
        <v>290.61835381512191</v>
      </c>
      <c r="C8" s="87">
        <f>(SUMPRODUCT('DCF Valuation'!$B$6:$F$6,1/(1+0.0686)^'DCF Valuation'!$B$7:$F$7)+('DCF Valuation'!$F$6*(1+0.02)/(0.0686-0.02))/(1+0.0686)^5-'DCF Valuation'!$B$28)/'DCF Valuation'!$B$32</f>
        <v>314.58426715769974</v>
      </c>
      <c r="D8" s="87">
        <f>(SUMPRODUCT('DCF Valuation'!$B$6:$F$6,1/(1+0.0686)^'DCF Valuation'!$B$7:$F$7)+('DCF Valuation'!$F$6*(1+0.025)/(0.0686-0.025))/(1+0.0686)^5-'DCF Valuation'!$B$28)/'DCF Valuation'!$B$32</f>
        <v>344.04694961554765</v>
      </c>
      <c r="E8" s="87">
        <f>(SUMPRODUCT('DCF Valuation'!$B$6:$F$6,1/(1+0.0686)^'DCF Valuation'!$B$7:$F$7)+('DCF Valuation'!$F$6*(1+0.03)/(0.0686-0.03))/(1+0.0686)^5-'DCF Valuation'!$B$28)/'DCF Valuation'!$B$32</f>
        <v>381.14245136299337</v>
      </c>
      <c r="F8" s="87">
        <f>(SUMPRODUCT('DCF Valuation'!$B$6:$F$6,1/(1+0.0686)^'DCF Valuation'!$B$7:$F$7)+('DCF Valuation'!$F$6*(1+0.035)/(0.0686-0.035))/(1+0.0686)^5-'DCF Valuation'!$B$28)/'DCF Valuation'!$B$32</f>
        <v>429.2782810114648</v>
      </c>
    </row>
    <row r="9" spans="1:6" ht="15" customHeight="1" x14ac:dyDescent="0.3">
      <c r="A9" s="60">
        <v>7.3599999999999999E-2</v>
      </c>
      <c r="B9" s="87">
        <f>(SUMPRODUCT('DCF Valuation'!$B$6:$F$6,1/(1+0.0736)^'DCF Valuation'!$B$7:$F$7)+('DCF Valuation'!$F$6*(1+0.015)/(0.0736-0.015))/(1+0.0736)^5-'DCF Valuation'!$B$28)/'DCF Valuation'!$B$32</f>
        <v>266.30685872237228</v>
      </c>
      <c r="C9" s="87">
        <f>(SUMPRODUCT('DCF Valuation'!$B$6:$F$6,1/(1+0.0736)^'DCF Valuation'!$B$7:$F$7)+('DCF Valuation'!$F$6*(1+0.02)/(0.0736-0.02))/(1+0.0736)^5-'DCF Valuation'!$B$28)/'DCF Valuation'!$B$32</f>
        <v>285.81533302821202</v>
      </c>
      <c r="D9" s="87">
        <f>(SUMPRODUCT('DCF Valuation'!$B$6:$F$6,1/(1+0.0736)^'DCF Valuation'!$B$7:$F$7)+('DCF Valuation'!$F$6*(1+0.025)/(0.0736-0.025))/(1+0.0736)^5-'DCF Valuation'!$B$28)/'DCF Valuation'!$B$32</f>
        <v>309.33789669739315</v>
      </c>
      <c r="E9" s="87">
        <f>(SUMPRODUCT('DCF Valuation'!$B$6:$F$6,1/(1+0.0736)^'DCF Valuation'!$B$7:$F$7)+('DCF Valuation'!$F$6*(1+0.03)/(0.0736-0.03))/(1+0.0736)^5-'DCF Valuation'!$B$28)/'DCF Valuation'!$B$32</f>
        <v>338.25554377693703</v>
      </c>
      <c r="F9" s="87">
        <f>(SUMPRODUCT('DCF Valuation'!$B$6:$F$6,1/(1+0.0736)^'DCF Valuation'!$B$7:$F$7)+('DCF Valuation'!$F$6*(1+0.035)/(0.0736-0.035))/(1+0.0736)^5-'DCF Valuation'!$B$28)/'DCF Valuation'!$B$32</f>
        <v>374.66480927087042</v>
      </c>
    </row>
    <row r="10" spans="1:6" ht="15" customHeight="1" x14ac:dyDescent="0.3">
      <c r="A10" s="60">
        <v>7.8600000000000003E-2</v>
      </c>
      <c r="B10" s="87">
        <f>(SUMPRODUCT('DCF Valuation'!$B$6:$F$6,1/(1+0.0786)^'DCF Valuation'!$B$7:$F$7)+('DCF Valuation'!$F$6*(1+0.015)/(0.0786-0.015))/(1+0.0786)^5-'DCF Valuation'!$B$28)/'DCF Valuation'!$B$32</f>
        <v>245.83310861690495</v>
      </c>
      <c r="C10" s="87">
        <f>(SUMPRODUCT('DCF Valuation'!$B$6:$F$6,1/(1+0.0786)^'DCF Valuation'!$B$7:$F$7)+('DCF Valuation'!$F$6*(1+0.02)/(0.0786-0.02))/(1+0.0786)^5-'DCF Valuation'!$B$28)/'DCF Valuation'!$B$32</f>
        <v>261.97146595677521</v>
      </c>
      <c r="D10" s="87">
        <f>(SUMPRODUCT('DCF Valuation'!$B$6:$F$6,1/(1+0.0786)^'DCF Valuation'!$B$7:$F$7)+('DCF Valuation'!$F$6*(1+0.025)/(0.0786-0.025))/(1+0.0786)^5-'DCF Valuation'!$B$28)/'DCF Valuation'!$B$32</f>
        <v>281.12071086005403</v>
      </c>
      <c r="E10" s="87">
        <f>(SUMPRODUCT('DCF Valuation'!$B$6:$F$6,1/(1+0.0786)^'DCF Valuation'!$B$7:$F$7)+('DCF Valuation'!$F$6*(1+0.03)/(0.0786-0.03))/(1+0.0786)^5-'DCF Valuation'!$B$28)/'DCF Valuation'!$B$32</f>
        <v>304.21012961174421</v>
      </c>
      <c r="F10" s="87">
        <f>(SUMPRODUCT('DCF Valuation'!$B$6:$F$6,1/(1+0.0786)^'DCF Valuation'!$B$7:$F$7)+('DCF Valuation'!$F$6*(1+0.035)/(0.0786-0.035))/(1+0.0786)^5-'DCF Valuation'!$B$28)/'DCF Valuation'!$B$32</f>
        <v>332.5952866092349</v>
      </c>
    </row>
    <row r="11" spans="1:6" ht="15" customHeight="1" x14ac:dyDescent="0.3">
      <c r="A11" s="60">
        <v>8.3599999999999994E-2</v>
      </c>
      <c r="B11" s="87">
        <f>(SUMPRODUCT('DCF Valuation'!$B$6:$F$6,1/(1+0.0836)^'DCF Valuation'!$B$7:$F$7)+('DCF Valuation'!$F$6*(1+0.015)/(0.0836-0.015))/(1+0.0836)^5-'DCF Valuation'!$B$28)/'DCF Valuation'!$B$32</f>
        <v>228.35760581986312</v>
      </c>
      <c r="C11" s="87">
        <f>(SUMPRODUCT('DCF Valuation'!$B$6:$F$6,1/(1+0.0836)^'DCF Valuation'!$B$7:$F$7)+('DCF Valuation'!$F$6*(1+0.02)/(0.0836-0.02))/(1+0.0836)^5-'DCF Valuation'!$B$28)/'DCF Valuation'!$B$32</f>
        <v>241.89074368755971</v>
      </c>
      <c r="D11" s="87">
        <f>(SUMPRODUCT('DCF Valuation'!$B$6:$F$6,1/(1+0.0836)^'DCF Valuation'!$B$7:$F$7)+('DCF Valuation'!$F$6*(1+0.025)/(0.0836-0.025))/(1+0.0836)^5-'DCF Valuation'!$B$28)/'DCF Valuation'!$B$32</f>
        <v>257.73329074769606</v>
      </c>
      <c r="E11" s="87">
        <f>(SUMPRODUCT('DCF Valuation'!$B$6:$F$6,1/(1+0.0836)^'DCF Valuation'!$B$7:$F$7)+('DCF Valuation'!$F$6*(1+0.03)/(0.0836-0.03))/(1+0.0836)^5-'DCF Valuation'!$B$28)/'DCF Valuation'!$B$32</f>
        <v>276.53153688621597</v>
      </c>
      <c r="F11" s="87">
        <f>(SUMPRODUCT('DCF Valuation'!$B$6:$F$6,1/(1+0.0836)^'DCF Valuation'!$B$7:$F$7)+('DCF Valuation'!$F$6*(1+0.035)/(0.0836-0.035))/(1+0.0836)^5-'DCF Valuation'!$B$28)/'DCF Valuation'!$B$32</f>
        <v>299.19773490508982</v>
      </c>
    </row>
    <row r="12" spans="1:6" ht="15" customHeight="1" x14ac:dyDescent="0.3">
      <c r="A12" s="60">
        <v>8.8599999999999998E-2</v>
      </c>
      <c r="B12" s="87">
        <f>(SUMPRODUCT('DCF Valuation'!$B$6:$F$6,1/(1+0.0886)^'DCF Valuation'!$B$7:$F$7)+('DCF Valuation'!$F$6*(1+0.015)/(0.0886-0.015))/(1+0.0886)^5-'DCF Valuation'!$B$28)/'DCF Valuation'!$B$32</f>
        <v>213.26898631782834</v>
      </c>
      <c r="C12" s="87">
        <f>(SUMPRODUCT('DCF Valuation'!$B$6:$F$6,1/(1+0.0886)^'DCF Valuation'!$B$7:$F$7)+('DCF Valuation'!$F$6*(1+0.02)/(0.0886-0.02))/(1+0.0886)^5-'DCF Valuation'!$B$28)/'DCF Valuation'!$B$32</f>
        <v>224.75000630517093</v>
      </c>
      <c r="D12" s="87">
        <f>(SUMPRODUCT('DCF Valuation'!$B$6:$F$6,1/(1+0.0886)^'DCF Valuation'!$B$7:$F$7)+('DCF Valuation'!$F$6*(1+0.025)/(0.0886-0.025))/(1+0.0886)^5-'DCF Valuation'!$B$28)/'DCF Valuation'!$B$32</f>
        <v>238.03621811442272</v>
      </c>
      <c r="E12" s="87">
        <f>(SUMPRODUCT('DCF Valuation'!$B$6:$F$6,1/(1+0.0886)^'DCF Valuation'!$B$7:$F$7)+('DCF Valuation'!$F$6*(1+0.03)/(0.0886-0.03))/(1+0.0886)^5-'DCF Valuation'!$B$28)/'DCF Valuation'!$B$32</f>
        <v>253.58970156347857</v>
      </c>
      <c r="F12" s="87">
        <f>(SUMPRODUCT('DCF Valuation'!$B$6:$F$6,1/(1+0.0886)^'DCF Valuation'!$B$7:$F$7)+('DCF Valuation'!$F$6*(1+0.035)/(0.0886-0.035))/(1+0.0886)^5-'DCF Valuation'!$B$28)/'DCF Valuation'!$B$32</f>
        <v>272.04495431273142</v>
      </c>
    </row>
    <row r="13" spans="1:6" ht="15" customHeight="1" x14ac:dyDescent="0.3">
      <c r="A13" s="60">
        <v>9.3600000000000003E-2</v>
      </c>
      <c r="B13" s="87">
        <f>(SUMPRODUCT('DCF Valuation'!$B$6:$F$6,1/(1+0.0936)^'DCF Valuation'!$B$7:$F$7)+('DCF Valuation'!$F$6*(1+0.015)/(0.0936-0.015))/(1+0.0936)^5-'DCF Valuation'!$B$28)/'DCF Valuation'!$B$32</f>
        <v>200.11145786743586</v>
      </c>
      <c r="C13" s="87">
        <f>(SUMPRODUCT('DCF Valuation'!$B$6:$F$6,1/(1+0.0936)^'DCF Valuation'!$B$7:$F$7)+('DCF Valuation'!$F$6*(1+0.02)/(0.0936-0.02))/(1+0.0936)^5-'DCF Valuation'!$B$28)/'DCF Valuation'!$B$32</f>
        <v>209.94978720296135</v>
      </c>
      <c r="D13" s="87">
        <f>(SUMPRODUCT('DCF Valuation'!$B$6:$F$6,1/(1+0.0936)^'DCF Valuation'!$B$7:$F$7)+('DCF Valuation'!$F$6*(1+0.025)/(0.0936-0.025))/(1+0.0936)^5-'DCF Valuation'!$B$28)/'DCF Valuation'!$B$32</f>
        <v>221.22227533375292</v>
      </c>
      <c r="E13" s="87">
        <f>(SUMPRODUCT('DCF Valuation'!$B$6:$F$6,1/(1+0.0936)^'DCF Valuation'!$B$7:$F$7)+('DCF Valuation'!$F$6*(1+0.03)/(0.0936-0.03))/(1+0.0936)^5-'DCF Valuation'!$B$28)/'DCF Valuation'!$B$32</f>
        <v>234.26716725869409</v>
      </c>
      <c r="F13" s="87">
        <f>(SUMPRODUCT('DCF Valuation'!$B$6:$F$6,1/(1+0.0936)^'DCF Valuation'!$B$7:$F$7)+('DCF Valuation'!$F$6*(1+0.035)/(0.0936-0.035))/(1+0.0936)^5-'DCF Valuation'!$B$28)/'DCF Valuation'!$B$32</f>
        <v>249.53814995580956</v>
      </c>
    </row>
    <row r="15" spans="1:6" ht="15" customHeight="1" x14ac:dyDescent="0.3">
      <c r="A15" s="52" t="s">
        <v>272</v>
      </c>
    </row>
    <row r="17" spans="1:6" ht="15" customHeight="1" x14ac:dyDescent="0.3">
      <c r="A17" s="49" t="s">
        <v>273</v>
      </c>
    </row>
    <row r="19" spans="1:6" ht="15" customHeight="1" x14ac:dyDescent="0.3">
      <c r="A19" s="50" t="s">
        <v>274</v>
      </c>
      <c r="B19" s="88">
        <v>3.6999999999999998E-2</v>
      </c>
      <c r="C19" s="88">
        <v>0.04</v>
      </c>
      <c r="D19" s="88">
        <v>4.2999999999999997E-2</v>
      </c>
      <c r="E19" s="88">
        <v>4.5999999999999999E-2</v>
      </c>
      <c r="F19" s="88">
        <v>4.9000000000000002E-2</v>
      </c>
    </row>
    <row r="20" spans="1:6" ht="15" customHeight="1" x14ac:dyDescent="0.3">
      <c r="A20" s="60">
        <v>5.5E-2</v>
      </c>
      <c r="B20" s="87">
        <f>((275235*(1+0.055)^5)*0.037*18-'DCF Valuation'!$B$28)/'DCF Valuation'!$B$32</f>
        <v>556.23061439567095</v>
      </c>
      <c r="C20" s="87">
        <f>((275235*(1+0.055)^5)*0.04*18-'DCF Valuation'!$B$28)/'DCF Valuation'!$B$32</f>
        <v>600.02980586728449</v>
      </c>
      <c r="D20" s="87">
        <f>((275235*(1+0.055)^5)*0.043*18-'DCF Valuation'!$B$28)/'DCF Valuation'!$B$32</f>
        <v>643.82899733889781</v>
      </c>
      <c r="E20" s="87">
        <f>((275235*(1+0.055)^5)*0.046*18-'DCF Valuation'!$B$28)/'DCF Valuation'!$B$32</f>
        <v>687.62818881051123</v>
      </c>
      <c r="F20" s="87">
        <f>((275235*(1+0.055)^5)*0.049*18-'DCF Valuation'!$B$28)/'DCF Valuation'!$B$32</f>
        <v>731.42738028212477</v>
      </c>
    </row>
    <row r="21" spans="1:6" ht="15" customHeight="1" x14ac:dyDescent="0.3">
      <c r="A21" s="60">
        <v>6.5000000000000002E-2</v>
      </c>
      <c r="B21" s="87">
        <f>((275235*(1+0.065)^5)*0.037*18-'DCF Valuation'!$B$28)/'DCF Valuation'!$B$32</f>
        <v>582.32199474241884</v>
      </c>
      <c r="C21" s="87">
        <f>((275235*(1+0.065)^5)*0.04*18-'DCF Valuation'!$B$28)/'DCF Valuation'!$B$32</f>
        <v>628.23670353944442</v>
      </c>
      <c r="D21" s="87">
        <f>((275235*(1+0.065)^5)*0.043*18-'DCF Valuation'!$B$28)/'DCF Valuation'!$B$32</f>
        <v>674.15141233646966</v>
      </c>
      <c r="E21" s="87">
        <f>((275235*(1+0.065)^5)*0.046*18-'DCF Valuation'!$B$28)/'DCF Valuation'!$B$32</f>
        <v>720.06612113349502</v>
      </c>
      <c r="F21" s="87">
        <f>((275235*(1+0.065)^5)*0.049*18-'DCF Valuation'!$B$28)/'DCF Valuation'!$B$32</f>
        <v>765.98082993052049</v>
      </c>
    </row>
    <row r="22" spans="1:6" ht="15" customHeight="1" x14ac:dyDescent="0.3">
      <c r="A22" s="60">
        <v>7.4999999999999997E-2</v>
      </c>
      <c r="B22" s="87">
        <f>((275235*(1+0.075)^5)*0.037*18-'DCF Valuation'!$B$28)/'DCF Valuation'!$B$32</f>
        <v>609.41195362845099</v>
      </c>
      <c r="C22" s="87">
        <f>((275235*(1+0.075)^5)*0.04*18-'DCF Valuation'!$B$28)/'DCF Valuation'!$B$32</f>
        <v>657.52314557839804</v>
      </c>
      <c r="D22" s="87">
        <f>((275235*(1+0.075)^5)*0.043*18-'DCF Valuation'!$B$28)/'DCF Valuation'!$B$32</f>
        <v>705.63433752834499</v>
      </c>
      <c r="E22" s="87">
        <f>((275235*(1+0.075)^5)*0.046*18-'DCF Valuation'!$B$28)/'DCF Valuation'!$B$32</f>
        <v>753.74552947829181</v>
      </c>
      <c r="F22" s="87">
        <f>((275235*(1+0.075)^5)*0.049*18-'DCF Valuation'!$B$28)/'DCF Valuation'!$B$32</f>
        <v>801.85672142823887</v>
      </c>
    </row>
    <row r="23" spans="1:6" ht="15" customHeight="1" x14ac:dyDescent="0.3">
      <c r="A23" s="60">
        <v>8.5000000000000006E-2</v>
      </c>
      <c r="B23" s="87">
        <f>((275235*(1+0.085)^5)*0.037*18-'DCF Valuation'!$B$28)/'DCF Valuation'!$B$32</f>
        <v>637.52888413687333</v>
      </c>
      <c r="C23" s="87">
        <f>((275235*(1+0.085)^5)*0.04*18-'DCF Valuation'!$B$28)/'DCF Valuation'!$B$32</f>
        <v>687.91982720912483</v>
      </c>
      <c r="D23" s="87">
        <f>((275235*(1+0.085)^5)*0.043*18-'DCF Valuation'!$B$28)/'DCF Valuation'!$B$32</f>
        <v>738.31077028137611</v>
      </c>
      <c r="E23" s="87">
        <f>((275235*(1+0.085)^5)*0.046*18-'DCF Valuation'!$B$28)/'DCF Valuation'!$B$32</f>
        <v>788.70171335362761</v>
      </c>
      <c r="F23" s="87">
        <f>((275235*(1+0.085)^5)*0.049*18-'DCF Valuation'!$B$28)/'DCF Valuation'!$B$32</f>
        <v>839.09265642587911</v>
      </c>
    </row>
    <row r="24" spans="1:6" ht="15" customHeight="1" x14ac:dyDescent="0.3">
      <c r="A24" s="60">
        <v>9.5000000000000001E-2</v>
      </c>
      <c r="B24" s="87">
        <f>((275235*(1+0.095)^5)*0.037*18-'DCF Valuation'!$B$28)/'DCF Valuation'!$B$32</f>
        <v>666.70171253094577</v>
      </c>
      <c r="C24" s="87">
        <f>((275235*(1+0.095)^5)*0.04*18-'DCF Valuation'!$B$28)/'DCF Valuation'!$B$32</f>
        <v>719.45802006758151</v>
      </c>
      <c r="D24" s="87">
        <f>((275235*(1+0.095)^5)*0.043*18-'DCF Valuation'!$B$28)/'DCF Valuation'!$B$32</f>
        <v>772.21432760421703</v>
      </c>
      <c r="E24" s="87">
        <f>((275235*(1+0.095)^5)*0.046*18-'DCF Valuation'!$B$28)/'DCF Valuation'!$B$32</f>
        <v>824.97063514085278</v>
      </c>
      <c r="F24" s="87">
        <f>((275235*(1+0.095)^5)*0.049*18-'DCF Valuation'!$B$28)/'DCF Valuation'!$B$32</f>
        <v>877.72694267748841</v>
      </c>
    </row>
  </sheetData>
  <conditionalFormatting sqref="B7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F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"/>
  <sheetViews>
    <sheetView zoomScaleNormal="100" workbookViewId="0">
      <selection activeCell="A2" sqref="A2"/>
    </sheetView>
  </sheetViews>
  <sheetFormatPr defaultColWidth="8.6328125" defaultRowHeight="12.5" x14ac:dyDescent="0.25"/>
  <cols>
    <col min="1" max="1" width="30" style="51" customWidth="1"/>
    <col min="2" max="2" width="10" style="51" customWidth="1"/>
    <col min="3" max="4" width="12" style="51" customWidth="1"/>
    <col min="5" max="9" width="11" style="51" customWidth="1"/>
    <col min="10" max="10" width="9" style="51" customWidth="1"/>
    <col min="11" max="16384" width="8.6328125" style="51"/>
  </cols>
  <sheetData>
    <row r="1" spans="1:8" ht="17.25" customHeight="1" x14ac:dyDescent="0.3">
      <c r="A1" s="50" t="s">
        <v>275</v>
      </c>
    </row>
    <row r="2" spans="1:8" ht="15" customHeight="1" x14ac:dyDescent="0.3">
      <c r="A2" s="66" t="s">
        <v>276</v>
      </c>
    </row>
    <row r="4" spans="1:8" ht="27.75" customHeight="1" x14ac:dyDescent="0.3">
      <c r="A4" s="104" t="s">
        <v>277</v>
      </c>
      <c r="B4" s="104" t="s">
        <v>278</v>
      </c>
      <c r="C4" s="104" t="s">
        <v>279</v>
      </c>
      <c r="D4" s="104" t="s">
        <v>280</v>
      </c>
      <c r="E4" s="104" t="s">
        <v>281</v>
      </c>
      <c r="F4" s="104" t="s">
        <v>282</v>
      </c>
      <c r="G4" s="104" t="s">
        <v>283</v>
      </c>
      <c r="H4" s="104" t="s">
        <v>284</v>
      </c>
    </row>
    <row r="5" spans="1:8" ht="15" customHeight="1" x14ac:dyDescent="0.25">
      <c r="A5" s="89" t="s">
        <v>285</v>
      </c>
      <c r="B5" s="89" t="s">
        <v>286</v>
      </c>
      <c r="C5" s="90">
        <v>846.8</v>
      </c>
      <c r="D5" s="91">
        <v>20.66</v>
      </c>
      <c r="E5" s="91">
        <v>35.58</v>
      </c>
      <c r="F5" s="91">
        <v>38.68</v>
      </c>
      <c r="G5" s="92">
        <v>4.7300000000000002E-2</v>
      </c>
      <c r="H5" s="93">
        <v>0.59</v>
      </c>
    </row>
    <row r="6" spans="1:8" ht="15" customHeight="1" x14ac:dyDescent="0.25">
      <c r="A6" s="89" t="s">
        <v>287</v>
      </c>
      <c r="B6" s="89" t="s">
        <v>288</v>
      </c>
      <c r="C6" s="90">
        <v>75.099999999999994</v>
      </c>
      <c r="D6" s="91">
        <v>9.59</v>
      </c>
      <c r="E6" s="91">
        <v>17.12</v>
      </c>
      <c r="F6" s="91">
        <v>15.81</v>
      </c>
      <c r="G6" s="92">
        <v>-1.6799999999999999E-2</v>
      </c>
      <c r="H6" s="93">
        <v>0.97</v>
      </c>
    </row>
    <row r="7" spans="1:8" ht="15" customHeight="1" x14ac:dyDescent="0.25">
      <c r="A7" s="89" t="s">
        <v>289</v>
      </c>
      <c r="B7" s="89" t="s">
        <v>290</v>
      </c>
      <c r="C7" s="90">
        <v>12.4</v>
      </c>
      <c r="D7" s="91">
        <v>13.26</v>
      </c>
      <c r="E7" s="91">
        <v>20.46</v>
      </c>
      <c r="F7" s="91">
        <v>21.17</v>
      </c>
      <c r="G7" s="92">
        <v>4.6600000000000003E-2</v>
      </c>
      <c r="H7" s="93">
        <v>0.33</v>
      </c>
    </row>
    <row r="8" spans="1:8" ht="15" customHeight="1" x14ac:dyDescent="0.25">
      <c r="A8" s="89" t="s">
        <v>291</v>
      </c>
      <c r="B8" s="89" t="s">
        <v>292</v>
      </c>
      <c r="C8" s="90">
        <v>29</v>
      </c>
      <c r="D8" s="91">
        <v>11.96</v>
      </c>
      <c r="E8" s="91">
        <v>15.68</v>
      </c>
      <c r="F8" s="91">
        <v>16.71</v>
      </c>
      <c r="G8" s="92">
        <v>0.04</v>
      </c>
      <c r="H8" s="93">
        <v>0.25</v>
      </c>
    </row>
    <row r="9" spans="1:8" ht="15" customHeight="1" x14ac:dyDescent="0.25">
      <c r="A9" s="89" t="s">
        <v>293</v>
      </c>
      <c r="B9" s="89" t="s">
        <v>294</v>
      </c>
      <c r="C9" s="90">
        <v>4.96</v>
      </c>
      <c r="D9" s="91">
        <v>14.38</v>
      </c>
      <c r="E9" s="91">
        <v>26.35</v>
      </c>
      <c r="F9" s="91">
        <v>32.47</v>
      </c>
      <c r="G9" s="92">
        <v>9.5000000000000001E-2</v>
      </c>
      <c r="H9" s="93">
        <v>0.76</v>
      </c>
    </row>
    <row r="11" spans="1:8" ht="15" customHeight="1" x14ac:dyDescent="0.3">
      <c r="A11" s="94" t="s">
        <v>295</v>
      </c>
      <c r="B11" s="94" t="s">
        <v>296</v>
      </c>
      <c r="C11" s="95">
        <v>397.1</v>
      </c>
      <c r="D11" s="96">
        <v>29.63</v>
      </c>
      <c r="E11" s="96">
        <v>43.25</v>
      </c>
      <c r="F11" s="96">
        <v>45.04</v>
      </c>
      <c r="G11" s="97">
        <v>0.10199999999999999</v>
      </c>
      <c r="H11" s="98">
        <v>0.86</v>
      </c>
    </row>
    <row r="13" spans="1:8" ht="15" customHeight="1" x14ac:dyDescent="0.3">
      <c r="A13" s="49" t="s">
        <v>297</v>
      </c>
    </row>
    <row r="14" spans="1:8" ht="15" customHeight="1" x14ac:dyDescent="0.3">
      <c r="A14" s="50" t="s">
        <v>298</v>
      </c>
      <c r="C14" s="87">
        <f t="shared" ref="C14:H14" si="0">MAX(C5:C9)</f>
        <v>846.8</v>
      </c>
      <c r="D14" s="74">
        <f t="shared" si="0"/>
        <v>20.66</v>
      </c>
      <c r="E14" s="74">
        <f t="shared" si="0"/>
        <v>35.58</v>
      </c>
      <c r="F14" s="74">
        <f t="shared" si="0"/>
        <v>38.68</v>
      </c>
      <c r="G14" s="59">
        <f t="shared" si="0"/>
        <v>9.5000000000000001E-2</v>
      </c>
      <c r="H14" s="99">
        <f t="shared" si="0"/>
        <v>0.97</v>
      </c>
    </row>
    <row r="15" spans="1:8" ht="15" customHeight="1" x14ac:dyDescent="0.3">
      <c r="A15" s="50" t="s">
        <v>299</v>
      </c>
      <c r="C15" s="87">
        <f t="shared" ref="C15:H15" si="1">QUARTILE(C5:C9,3)</f>
        <v>75.099999999999994</v>
      </c>
      <c r="D15" s="74">
        <f t="shared" si="1"/>
        <v>14.38</v>
      </c>
      <c r="E15" s="74">
        <f t="shared" si="1"/>
        <v>26.35</v>
      </c>
      <c r="F15" s="74">
        <f t="shared" si="1"/>
        <v>32.47</v>
      </c>
      <c r="G15" s="59">
        <f t="shared" si="1"/>
        <v>4.7300000000000002E-2</v>
      </c>
      <c r="H15" s="99">
        <f t="shared" si="1"/>
        <v>0.76</v>
      </c>
    </row>
    <row r="16" spans="1:8" ht="15" customHeight="1" x14ac:dyDescent="0.3">
      <c r="A16" s="50" t="s">
        <v>300</v>
      </c>
      <c r="C16" s="87">
        <f t="shared" ref="C16:H16" si="2">MEDIAN(C5:C9)</f>
        <v>29</v>
      </c>
      <c r="D16" s="74">
        <f t="shared" si="2"/>
        <v>13.26</v>
      </c>
      <c r="E16" s="74">
        <f t="shared" si="2"/>
        <v>20.46</v>
      </c>
      <c r="F16" s="74">
        <f t="shared" si="2"/>
        <v>21.17</v>
      </c>
      <c r="G16" s="59">
        <f t="shared" si="2"/>
        <v>4.6600000000000003E-2</v>
      </c>
      <c r="H16" s="99">
        <f t="shared" si="2"/>
        <v>0.59</v>
      </c>
    </row>
    <row r="17" spans="1:8" ht="15" customHeight="1" x14ac:dyDescent="0.3">
      <c r="A17" s="50" t="s">
        <v>301</v>
      </c>
      <c r="C17" s="87">
        <f t="shared" ref="C17:H17" si="3">QUARTILE(C5:C9,1)</f>
        <v>12.4</v>
      </c>
      <c r="D17" s="74">
        <f t="shared" si="3"/>
        <v>11.96</v>
      </c>
      <c r="E17" s="74">
        <f t="shared" si="3"/>
        <v>17.12</v>
      </c>
      <c r="F17" s="74">
        <f t="shared" si="3"/>
        <v>16.71</v>
      </c>
      <c r="G17" s="59">
        <f t="shared" si="3"/>
        <v>0.04</v>
      </c>
      <c r="H17" s="99">
        <f t="shared" si="3"/>
        <v>0.33</v>
      </c>
    </row>
    <row r="18" spans="1:8" ht="15" customHeight="1" x14ac:dyDescent="0.3">
      <c r="A18" s="50" t="s">
        <v>302</v>
      </c>
      <c r="C18" s="87">
        <f t="shared" ref="C18:H18" si="4">MIN(C5:C9)</f>
        <v>4.96</v>
      </c>
      <c r="D18" s="74">
        <f t="shared" si="4"/>
        <v>9.59</v>
      </c>
      <c r="E18" s="74">
        <f t="shared" si="4"/>
        <v>15.68</v>
      </c>
      <c r="F18" s="74">
        <f t="shared" si="4"/>
        <v>15.81</v>
      </c>
      <c r="G18" s="59">
        <f t="shared" si="4"/>
        <v>-1.6799999999999999E-2</v>
      </c>
      <c r="H18" s="99">
        <f t="shared" si="4"/>
        <v>0.25</v>
      </c>
    </row>
    <row r="20" spans="1:8" ht="30" customHeight="1" x14ac:dyDescent="0.3">
      <c r="A20" s="86" t="s">
        <v>303</v>
      </c>
      <c r="B20" s="86"/>
      <c r="C20" s="86"/>
      <c r="D20" s="86"/>
      <c r="E20" s="86"/>
      <c r="F20" s="86"/>
      <c r="G20" s="86"/>
      <c r="H20" s="86"/>
    </row>
    <row r="22" spans="1:8" ht="15" customHeight="1" x14ac:dyDescent="0.3">
      <c r="A22" s="49" t="s">
        <v>304</v>
      </c>
    </row>
    <row r="23" spans="1:8" ht="15" customHeight="1" x14ac:dyDescent="0.25">
      <c r="A23" s="51" t="s">
        <v>305</v>
      </c>
      <c r="C23" s="68">
        <f>'Income Statement'!G23+'DCF Inputs'!G10</f>
        <v>13892.553856607981</v>
      </c>
    </row>
    <row r="24" spans="1:8" ht="15" customHeight="1" x14ac:dyDescent="0.25">
      <c r="A24" s="51" t="s">
        <v>306</v>
      </c>
      <c r="C24" s="100">
        <f>'Income Statement'!G40</f>
        <v>19.829010135516221</v>
      </c>
    </row>
    <row r="26" spans="1:8" ht="51.75" customHeight="1" x14ac:dyDescent="0.3">
      <c r="A26" s="104" t="s">
        <v>307</v>
      </c>
      <c r="B26" s="104" t="s">
        <v>308</v>
      </c>
      <c r="C26" s="104" t="s">
        <v>309</v>
      </c>
      <c r="D26" s="104" t="s">
        <v>310</v>
      </c>
    </row>
    <row r="27" spans="1:8" ht="15" customHeight="1" x14ac:dyDescent="0.3">
      <c r="A27" s="56" t="s">
        <v>311</v>
      </c>
      <c r="B27" s="101">
        <f>D17</f>
        <v>11.96</v>
      </c>
      <c r="C27" s="58">
        <f>C23*B27-'DCF Valuation'!$B$28</f>
        <v>173268.94412503147</v>
      </c>
      <c r="D27" s="102">
        <f>C27/'DCF Valuation'!$B$32</f>
        <v>390.68533060886466</v>
      </c>
    </row>
    <row r="28" spans="1:8" ht="15" customHeight="1" x14ac:dyDescent="0.3">
      <c r="A28" s="56" t="s">
        <v>312</v>
      </c>
      <c r="B28" s="101">
        <f>D16</f>
        <v>13.26</v>
      </c>
      <c r="C28" s="58">
        <f>C23*B28-'DCF Valuation'!$B$28</f>
        <v>191329.26413862183</v>
      </c>
      <c r="D28" s="102">
        <f>C28/'DCF Valuation'!$B$32</f>
        <v>431.40758543093989</v>
      </c>
    </row>
    <row r="29" spans="1:8" ht="15" customHeight="1" x14ac:dyDescent="0.3">
      <c r="A29" s="56" t="s">
        <v>313</v>
      </c>
      <c r="B29" s="101">
        <f>D15</f>
        <v>14.38</v>
      </c>
      <c r="C29" s="58">
        <f>C23*B29-'DCF Valuation'!$B$28</f>
        <v>206888.92445802278</v>
      </c>
      <c r="D29" s="102">
        <f>C29/'DCF Valuation'!$B$32</f>
        <v>466.49137420072782</v>
      </c>
    </row>
    <row r="30" spans="1:8" ht="15" customHeight="1" x14ac:dyDescent="0.3">
      <c r="A30" s="56" t="s">
        <v>314</v>
      </c>
      <c r="B30" s="101">
        <f>E17</f>
        <v>17.12</v>
      </c>
      <c r="C30" s="58">
        <f>D30*'DCF Valuation'!$B$32</f>
        <v>150556.12183613674</v>
      </c>
      <c r="D30" s="102">
        <f>C24*B30</f>
        <v>339.47265352003774</v>
      </c>
    </row>
    <row r="31" spans="1:8" ht="15" customHeight="1" x14ac:dyDescent="0.3">
      <c r="A31" s="56" t="s">
        <v>315</v>
      </c>
      <c r="B31" s="101">
        <f>E16</f>
        <v>20.46</v>
      </c>
      <c r="C31" s="58">
        <f>D31*'DCF Valuation'!$B$32</f>
        <v>179928.63625977555</v>
      </c>
      <c r="D31" s="102">
        <f>C24*B31</f>
        <v>405.70154737266188</v>
      </c>
    </row>
    <row r="32" spans="1:8" ht="15" customHeight="1" x14ac:dyDescent="0.3">
      <c r="A32" s="56" t="s">
        <v>316</v>
      </c>
      <c r="B32" s="101">
        <f>E15</f>
        <v>26.35</v>
      </c>
      <c r="C32" s="58">
        <f>D32*'DCF Valuation'!$B$32</f>
        <v>231726.27397092307</v>
      </c>
      <c r="D32" s="102">
        <f>C24*B32</f>
        <v>522.49441707085248</v>
      </c>
    </row>
    <row r="34" spans="1:4" ht="15" customHeight="1" x14ac:dyDescent="0.3">
      <c r="A34" s="50" t="s">
        <v>317</v>
      </c>
      <c r="D34" s="103">
        <f>AVERAGE(D28,D31)</f>
        <v>418.55456640180091</v>
      </c>
    </row>
  </sheetData>
  <mergeCells count="1">
    <mergeCell ref="A20:H2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" customWidth="1"/>
    <col min="2" max="2" width="34" customWidth="1"/>
    <col min="3" max="7" width="15" customWidth="1"/>
  </cols>
  <sheetData>
    <row r="1" spans="2:7" ht="17.25" customHeight="1" x14ac:dyDescent="0.4">
      <c r="B1" s="8" t="s">
        <v>318</v>
      </c>
    </row>
    <row r="2" spans="2:7" ht="15" customHeight="1" x14ac:dyDescent="0.35">
      <c r="B2" s="9" t="s">
        <v>319</v>
      </c>
    </row>
    <row r="4" spans="2:7" ht="15" customHeight="1" x14ac:dyDescent="0.35">
      <c r="B4" s="10" t="s">
        <v>320</v>
      </c>
    </row>
    <row r="5" spans="2:7" ht="26.25" customHeight="1" x14ac:dyDescent="0.35">
      <c r="B5" s="33" t="s">
        <v>48</v>
      </c>
      <c r="C5" s="33" t="s">
        <v>321</v>
      </c>
      <c r="D5" s="33" t="s">
        <v>322</v>
      </c>
      <c r="E5" s="33" t="s">
        <v>323</v>
      </c>
      <c r="F5" s="33" t="s">
        <v>324</v>
      </c>
      <c r="G5" s="33" t="s">
        <v>325</v>
      </c>
    </row>
    <row r="6" spans="2:7" ht="15" customHeight="1" x14ac:dyDescent="0.35">
      <c r="B6" s="22" t="s">
        <v>326</v>
      </c>
      <c r="C6" s="35">
        <f>'DCF Sensitivity'!B13</f>
        <v>200.11145786743586</v>
      </c>
      <c r="D6" s="35">
        <f>'DCF Valuation'!B33</f>
        <v>281.09871643680299</v>
      </c>
      <c r="E6" s="35">
        <f>'DCF Sensitivity'!B7</f>
        <v>319.95257844776216</v>
      </c>
      <c r="F6" s="26">
        <v>0.2</v>
      </c>
      <c r="G6" s="32">
        <f>D6*F6</f>
        <v>56.2197432873606</v>
      </c>
    </row>
    <row r="7" spans="2:7" ht="15" customHeight="1" x14ac:dyDescent="0.35">
      <c r="B7" s="22" t="s">
        <v>327</v>
      </c>
      <c r="C7" s="35">
        <f>'Trading Comps'!D30</f>
        <v>339.47265352003774</v>
      </c>
      <c r="D7" s="35">
        <f>'Trading Comps'!D34</f>
        <v>418.55456640180091</v>
      </c>
      <c r="E7" s="35">
        <f>'Trading Comps'!D32</f>
        <v>522.49441707085248</v>
      </c>
      <c r="F7" s="26">
        <v>0.25</v>
      </c>
      <c r="G7" s="32">
        <f>D7*F7</f>
        <v>104.63864160045023</v>
      </c>
    </row>
    <row r="8" spans="2:7" ht="15" customHeight="1" x14ac:dyDescent="0.35">
      <c r="B8" t="s">
        <v>328</v>
      </c>
      <c r="C8" s="36">
        <v>39.51</v>
      </c>
      <c r="D8" s="36">
        <v>46.7</v>
      </c>
      <c r="E8" s="36">
        <v>51.75</v>
      </c>
    </row>
    <row r="9" spans="2:7" ht="15" customHeight="1" x14ac:dyDescent="0.35">
      <c r="B9" t="s">
        <v>329</v>
      </c>
      <c r="C9" s="32">
        <f>C8*'Income Statement'!G40</f>
        <v>783.44419045424581</v>
      </c>
      <c r="D9" s="32">
        <f>D8*'Income Statement'!G40</f>
        <v>926.01477332860759</v>
      </c>
      <c r="E9" s="32">
        <f>E8*'Income Statement'!G40</f>
        <v>1026.1512745129644</v>
      </c>
      <c r="F9" s="26">
        <v>0.3</v>
      </c>
      <c r="G9" s="32">
        <f>D9*F9</f>
        <v>277.80443199858229</v>
      </c>
    </row>
    <row r="10" spans="2:7" ht="15" customHeight="1" x14ac:dyDescent="0.35">
      <c r="B10" t="s">
        <v>330</v>
      </c>
      <c r="C10" s="35">
        <f>(Scenarios!D34*30)/(1+'DCF Inputs'!B27)^4</f>
        <v>460.88483538495916</v>
      </c>
      <c r="D10" s="35">
        <f>(Scenarios!C34*40)/(1+'DCF Inputs'!B27)^4</f>
        <v>770.08698709820567</v>
      </c>
      <c r="E10" s="35">
        <f>(Scenarios!B34*45)/(1+'DCF Inputs'!B27)^4</f>
        <v>1031.8800106177632</v>
      </c>
      <c r="F10" s="26">
        <v>0.25</v>
      </c>
      <c r="G10" s="32">
        <f>(C10*0.2+D10*0.6+E10*0.2)*F10</f>
        <v>190.15129036486698</v>
      </c>
    </row>
    <row r="12" spans="2:7" ht="15" customHeight="1" x14ac:dyDescent="0.35">
      <c r="B12" s="20" t="s">
        <v>331</v>
      </c>
      <c r="F12" s="37">
        <f>SUM(F6:F10)</f>
        <v>1</v>
      </c>
      <c r="G12" s="38">
        <f>SUM(G6:G10)</f>
        <v>628.81410725126011</v>
      </c>
    </row>
    <row r="14" spans="2:7" ht="15" customHeight="1" x14ac:dyDescent="0.35">
      <c r="B14" s="10" t="s">
        <v>332</v>
      </c>
    </row>
    <row r="15" spans="2:7" ht="15" customHeight="1" x14ac:dyDescent="0.35">
      <c r="B15" t="s">
        <v>333</v>
      </c>
      <c r="C15" s="34">
        <f>'DCF Valuation'!B34</f>
        <v>895</v>
      </c>
    </row>
    <row r="16" spans="2:7" ht="15" customHeight="1" x14ac:dyDescent="0.35">
      <c r="B16" t="s">
        <v>334</v>
      </c>
      <c r="C16" s="39">
        <f>ROUND(G12,-1)</f>
        <v>630</v>
      </c>
    </row>
    <row r="17" spans="2:7" ht="15" customHeight="1" x14ac:dyDescent="0.35">
      <c r="B17" t="s">
        <v>335</v>
      </c>
      <c r="C17" s="40">
        <f>C16/C15-1</f>
        <v>-0.2960893854748603</v>
      </c>
    </row>
    <row r="18" spans="2:7" ht="15" customHeight="1" x14ac:dyDescent="0.35">
      <c r="B18" t="s">
        <v>336</v>
      </c>
      <c r="C18" s="41" t="s">
        <v>42</v>
      </c>
    </row>
    <row r="20" spans="2:7" ht="19.5" customHeight="1" x14ac:dyDescent="0.4">
      <c r="B20" s="42" t="s">
        <v>337</v>
      </c>
      <c r="C20" s="43"/>
      <c r="D20" s="43"/>
    </row>
    <row r="21" spans="2:7" ht="15" customHeight="1" x14ac:dyDescent="0.35">
      <c r="B21" s="9" t="s">
        <v>338</v>
      </c>
    </row>
    <row r="23" spans="2:7" ht="15" customHeight="1" x14ac:dyDescent="0.35">
      <c r="B23" s="10" t="s">
        <v>339</v>
      </c>
    </row>
    <row r="24" spans="2:7" ht="15" customHeight="1" x14ac:dyDescent="0.35">
      <c r="B24" s="20" t="s">
        <v>340</v>
      </c>
    </row>
    <row r="25" spans="2:7" ht="42" customHeight="1" x14ac:dyDescent="0.35">
      <c r="B25" s="3" t="s">
        <v>341</v>
      </c>
      <c r="C25" s="3"/>
      <c r="D25" s="3"/>
      <c r="E25" s="3"/>
      <c r="F25" s="3"/>
      <c r="G25" s="3"/>
    </row>
    <row r="27" spans="2:7" ht="15" customHeight="1" x14ac:dyDescent="0.35">
      <c r="B27" s="20" t="s">
        <v>342</v>
      </c>
    </row>
    <row r="28" spans="2:7" ht="42" customHeight="1" x14ac:dyDescent="0.35">
      <c r="B28" s="3" t="s">
        <v>343</v>
      </c>
      <c r="C28" s="3"/>
      <c r="D28" s="3"/>
      <c r="E28" s="3"/>
      <c r="F28" s="3"/>
      <c r="G28" s="3"/>
    </row>
    <row r="30" spans="2:7" ht="15" customHeight="1" x14ac:dyDescent="0.35">
      <c r="B30" s="20" t="s">
        <v>344</v>
      </c>
    </row>
    <row r="31" spans="2:7" ht="42" customHeight="1" x14ac:dyDescent="0.35">
      <c r="B31" s="3" t="s">
        <v>345</v>
      </c>
      <c r="C31" s="3"/>
      <c r="D31" s="3"/>
      <c r="E31" s="3"/>
      <c r="F31" s="3"/>
      <c r="G31" s="3"/>
    </row>
    <row r="33" spans="2:7" ht="15" customHeight="1" x14ac:dyDescent="0.35">
      <c r="B33" s="20" t="s">
        <v>346</v>
      </c>
    </row>
    <row r="34" spans="2:7" ht="42" customHeight="1" x14ac:dyDescent="0.35">
      <c r="B34" s="3" t="s">
        <v>347</v>
      </c>
      <c r="C34" s="3"/>
      <c r="D34" s="3"/>
      <c r="E34" s="3"/>
      <c r="F34" s="3"/>
      <c r="G34" s="3"/>
    </row>
    <row r="36" spans="2:7" ht="15" customHeight="1" x14ac:dyDescent="0.35">
      <c r="B36" s="20" t="s">
        <v>348</v>
      </c>
    </row>
    <row r="37" spans="2:7" ht="42" customHeight="1" x14ac:dyDescent="0.35">
      <c r="B37" s="3" t="s">
        <v>349</v>
      </c>
      <c r="C37" s="3"/>
      <c r="D37" s="3"/>
      <c r="E37" s="3"/>
      <c r="F37" s="3"/>
      <c r="G37" s="3"/>
    </row>
    <row r="39" spans="2:7" ht="15" customHeight="1" x14ac:dyDescent="0.35">
      <c r="B39" s="20" t="s">
        <v>350</v>
      </c>
    </row>
    <row r="40" spans="2:7" ht="42" customHeight="1" x14ac:dyDescent="0.35">
      <c r="B40" s="3" t="s">
        <v>351</v>
      </c>
      <c r="C40" s="3"/>
      <c r="D40" s="3"/>
      <c r="E40" s="3"/>
      <c r="F40" s="3"/>
      <c r="G40" s="3"/>
    </row>
    <row r="42" spans="2:7" ht="15" customHeight="1" x14ac:dyDescent="0.35">
      <c r="B42" s="20" t="s">
        <v>352</v>
      </c>
    </row>
    <row r="43" spans="2:7" ht="42" customHeight="1" x14ac:dyDescent="0.35">
      <c r="B43" s="3" t="s">
        <v>353</v>
      </c>
      <c r="C43" s="3"/>
      <c r="D43" s="3"/>
      <c r="E43" s="3"/>
      <c r="F43" s="3"/>
      <c r="G43" s="3"/>
    </row>
    <row r="45" spans="2:7" ht="31.5" customHeight="1" x14ac:dyDescent="0.35">
      <c r="B45" s="4" t="s">
        <v>354</v>
      </c>
      <c r="C45" s="4"/>
      <c r="D45" s="4"/>
      <c r="E45" s="4"/>
      <c r="F45" s="4"/>
      <c r="G45" s="4"/>
    </row>
  </sheetData>
  <mergeCells count="8">
    <mergeCell ref="B40:G40"/>
    <mergeCell ref="B43:G43"/>
    <mergeCell ref="B45:G45"/>
    <mergeCell ref="B25:G25"/>
    <mergeCell ref="B28:G28"/>
    <mergeCell ref="B31:G31"/>
    <mergeCell ref="B34:G34"/>
    <mergeCell ref="B37:G3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23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5" customWidth="1"/>
    <col min="3" max="3" width="38" customWidth="1"/>
    <col min="4" max="5" width="14" customWidth="1"/>
    <col min="6" max="6" width="62" customWidth="1"/>
  </cols>
  <sheetData>
    <row r="1" spans="2:6" ht="20" x14ac:dyDescent="0.4">
      <c r="B1" s="7" t="s">
        <v>355</v>
      </c>
      <c r="C1" s="7"/>
      <c r="D1" s="7"/>
      <c r="E1" s="7"/>
      <c r="F1" s="7"/>
    </row>
    <row r="2" spans="2:6" x14ac:dyDescent="0.35">
      <c r="B2" s="6" t="s">
        <v>356</v>
      </c>
      <c r="C2" s="6"/>
      <c r="D2" s="6"/>
      <c r="E2" s="6"/>
      <c r="F2" s="6"/>
    </row>
    <row r="4" spans="2:6" x14ac:dyDescent="0.35">
      <c r="B4" s="2" t="s">
        <v>357</v>
      </c>
      <c r="C4" s="2"/>
      <c r="D4" s="2"/>
      <c r="E4" s="2"/>
      <c r="F4" s="2"/>
    </row>
    <row r="5" spans="2:6" x14ac:dyDescent="0.35">
      <c r="B5" s="33" t="s">
        <v>358</v>
      </c>
      <c r="C5" s="33" t="s">
        <v>359</v>
      </c>
      <c r="D5" s="33" t="s">
        <v>360</v>
      </c>
      <c r="E5" s="33" t="s">
        <v>361</v>
      </c>
      <c r="F5" s="33" t="s">
        <v>362</v>
      </c>
    </row>
    <row r="6" spans="2:6" ht="54.75" customHeight="1" x14ac:dyDescent="0.35">
      <c r="B6" s="44">
        <v>1</v>
      </c>
      <c r="C6" s="44" t="s">
        <v>363</v>
      </c>
      <c r="D6" s="45" t="s">
        <v>364</v>
      </c>
      <c r="E6" s="45" t="s">
        <v>365</v>
      </c>
      <c r="F6" s="46" t="s">
        <v>366</v>
      </c>
    </row>
    <row r="7" spans="2:6" ht="54.75" customHeight="1" x14ac:dyDescent="0.35">
      <c r="B7" s="44">
        <v>2</v>
      </c>
      <c r="C7" s="44" t="s">
        <v>367</v>
      </c>
      <c r="D7" s="45" t="s">
        <v>368</v>
      </c>
      <c r="E7" s="45" t="s">
        <v>323</v>
      </c>
      <c r="F7" s="46" t="s">
        <v>369</v>
      </c>
    </row>
    <row r="8" spans="2:6" ht="54.75" customHeight="1" x14ac:dyDescent="0.35">
      <c r="B8" s="44">
        <v>3</v>
      </c>
      <c r="C8" s="44" t="s">
        <v>370</v>
      </c>
      <c r="D8" s="45" t="s">
        <v>364</v>
      </c>
      <c r="E8" s="45" t="s">
        <v>365</v>
      </c>
      <c r="F8" s="46" t="s">
        <v>371</v>
      </c>
    </row>
    <row r="9" spans="2:6" ht="54.75" customHeight="1" x14ac:dyDescent="0.35">
      <c r="B9" s="44">
        <v>4</v>
      </c>
      <c r="C9" s="44" t="s">
        <v>372</v>
      </c>
      <c r="D9" s="45" t="s">
        <v>365</v>
      </c>
      <c r="E9" s="45" t="s">
        <v>368</v>
      </c>
      <c r="F9" s="46" t="s">
        <v>373</v>
      </c>
    </row>
    <row r="10" spans="2:6" ht="54.75" customHeight="1" x14ac:dyDescent="0.35">
      <c r="B10" s="44">
        <v>5</v>
      </c>
      <c r="C10" s="44" t="s">
        <v>374</v>
      </c>
      <c r="D10" s="45" t="s">
        <v>375</v>
      </c>
      <c r="E10" s="45" t="s">
        <v>376</v>
      </c>
      <c r="F10" s="46" t="s">
        <v>377</v>
      </c>
    </row>
    <row r="12" spans="2:6" x14ac:dyDescent="0.35">
      <c r="B12" s="1" t="s">
        <v>378</v>
      </c>
      <c r="C12" s="1"/>
      <c r="D12" s="1"/>
      <c r="E12" s="1"/>
      <c r="F12" s="1"/>
    </row>
    <row r="13" spans="2:6" x14ac:dyDescent="0.35">
      <c r="B13" s="33" t="s">
        <v>358</v>
      </c>
      <c r="C13" s="33" t="s">
        <v>359</v>
      </c>
      <c r="D13" s="33" t="s">
        <v>360</v>
      </c>
      <c r="E13" s="33" t="s">
        <v>361</v>
      </c>
      <c r="F13" s="33" t="s">
        <v>362</v>
      </c>
    </row>
    <row r="14" spans="2:6" ht="54.75" customHeight="1" x14ac:dyDescent="0.35">
      <c r="B14" s="11">
        <v>1</v>
      </c>
      <c r="C14" s="11" t="s">
        <v>379</v>
      </c>
      <c r="D14" s="47" t="s">
        <v>375</v>
      </c>
      <c r="E14" s="47" t="s">
        <v>323</v>
      </c>
      <c r="F14" s="48" t="s">
        <v>380</v>
      </c>
    </row>
    <row r="15" spans="2:6" ht="54.75" customHeight="1" x14ac:dyDescent="0.35">
      <c r="B15" s="11">
        <v>2</v>
      </c>
      <c r="C15" s="11" t="s">
        <v>381</v>
      </c>
      <c r="D15" s="47" t="s">
        <v>365</v>
      </c>
      <c r="E15" s="47" t="s">
        <v>365</v>
      </c>
      <c r="F15" s="48" t="s">
        <v>382</v>
      </c>
    </row>
    <row r="16" spans="2:6" ht="54.75" customHeight="1" x14ac:dyDescent="0.35">
      <c r="B16" s="11">
        <v>3</v>
      </c>
      <c r="C16" s="11" t="s">
        <v>383</v>
      </c>
      <c r="D16" s="47" t="s">
        <v>365</v>
      </c>
      <c r="E16" s="47" t="s">
        <v>365</v>
      </c>
      <c r="F16" s="48" t="s">
        <v>384</v>
      </c>
    </row>
    <row r="17" spans="2:6" ht="54.75" customHeight="1" x14ac:dyDescent="0.35">
      <c r="B17" s="11">
        <v>4</v>
      </c>
      <c r="C17" s="11" t="s">
        <v>385</v>
      </c>
      <c r="D17" s="47" t="s">
        <v>368</v>
      </c>
      <c r="E17" s="47" t="s">
        <v>386</v>
      </c>
      <c r="F17" s="48" t="s">
        <v>387</v>
      </c>
    </row>
    <row r="19" spans="2:6" x14ac:dyDescent="0.35">
      <c r="B19" s="2" t="s">
        <v>388</v>
      </c>
      <c r="C19" s="2"/>
      <c r="D19" s="2"/>
      <c r="E19" s="2"/>
      <c r="F19" s="2"/>
    </row>
    <row r="20" spans="2:6" x14ac:dyDescent="0.35">
      <c r="B20" s="33" t="s">
        <v>358</v>
      </c>
      <c r="C20" s="33" t="s">
        <v>359</v>
      </c>
      <c r="D20" s="33" t="s">
        <v>360</v>
      </c>
      <c r="E20" s="33" t="s">
        <v>361</v>
      </c>
      <c r="F20" s="33" t="s">
        <v>362</v>
      </c>
    </row>
    <row r="21" spans="2:6" ht="54.75" customHeight="1" x14ac:dyDescent="0.35">
      <c r="B21" s="44">
        <v>1</v>
      </c>
      <c r="C21" s="44" t="s">
        <v>389</v>
      </c>
      <c r="D21" s="45" t="s">
        <v>365</v>
      </c>
      <c r="E21" s="45" t="s">
        <v>323</v>
      </c>
      <c r="F21" s="46" t="s">
        <v>390</v>
      </c>
    </row>
    <row r="22" spans="2:6" ht="54.75" customHeight="1" x14ac:dyDescent="0.35">
      <c r="B22" s="44">
        <v>2</v>
      </c>
      <c r="C22" s="44" t="s">
        <v>391</v>
      </c>
      <c r="D22" s="45" t="s">
        <v>368</v>
      </c>
      <c r="E22" s="45" t="s">
        <v>323</v>
      </c>
      <c r="F22" s="46" t="s">
        <v>392</v>
      </c>
    </row>
    <row r="23" spans="2:6" ht="54.75" customHeight="1" x14ac:dyDescent="0.35">
      <c r="B23" s="44">
        <v>3</v>
      </c>
      <c r="C23" s="44" t="s">
        <v>393</v>
      </c>
      <c r="D23" s="45" t="s">
        <v>365</v>
      </c>
      <c r="E23" s="45" t="s">
        <v>375</v>
      </c>
      <c r="F23" s="46" t="s">
        <v>394</v>
      </c>
    </row>
  </sheetData>
  <mergeCells count="5">
    <mergeCell ref="B1:F1"/>
    <mergeCell ref="B2:F2"/>
    <mergeCell ref="B4:F4"/>
    <mergeCell ref="B12:F12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Notes &amp; Sources</vt:lpstr>
      <vt:lpstr>Executive Summary</vt:lpstr>
      <vt:lpstr>Revenue Model</vt:lpstr>
      <vt:lpstr>Income Statement</vt:lpstr>
      <vt:lpstr>Cash Flow Statement</vt:lpstr>
      <vt:lpstr>Balance Sheet</vt:lpstr>
      <vt:lpstr>Scenarios</vt:lpstr>
      <vt:lpstr>DCF Inputs</vt:lpstr>
      <vt:lpstr>DCF Valuation</vt:lpstr>
      <vt:lpstr>DCF Sensitivity</vt:lpstr>
      <vt:lpstr>Trading Comps</vt:lpstr>
      <vt:lpstr>Valuation Summary</vt:lpstr>
      <vt:lpstr>Catalysts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Koya Nune Akhila, Lingadhari</cp:lastModifiedBy>
  <cp:revision>0</cp:revision>
  <dcterms:created xsi:type="dcterms:W3CDTF">2026-09-20T05:31:46Z</dcterms:created>
  <dcterms:modified xsi:type="dcterms:W3CDTF">2026-09-20T06:26:13Z</dcterms:modified>
  <dc:language>en-US</dc:language>
</cp:coreProperties>
</file>